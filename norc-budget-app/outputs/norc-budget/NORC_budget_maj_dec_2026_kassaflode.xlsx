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Budget maj-dec 2026" sheetId="1" state="visible" r:id="rId1"/>
    <sheet xmlns:r="http://schemas.openxmlformats.org/officeDocument/2006/relationships" name="Inmatning" sheetId="2" state="visible" r:id="rId2"/>
    <sheet xmlns:r="http://schemas.openxmlformats.org/officeDocument/2006/relationships" name="Kassaflöde inmatning" sheetId="3" state="visible" r:id="rId3"/>
    <sheet xmlns:r="http://schemas.openxmlformats.org/officeDocument/2006/relationships" name="Likviditet" sheetId="4" state="visible" r:id="rId4"/>
    <sheet xmlns:r="http://schemas.openxmlformats.org/officeDocument/2006/relationships" name="Kassaflöde beräkning" sheetId="5" state="hidden" r:id="rId5"/>
    <sheet xmlns:r="http://schemas.openxmlformats.org/officeDocument/2006/relationships" name="Resultat" sheetId="6" state="visible" r:id="rId6"/>
    <sheet xmlns:r="http://schemas.openxmlformats.org/officeDocument/2006/relationships" name="Hjälptabell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8">
    <numFmt numFmtId="164" formatCode="#,##0&quot; kr&quot;"/>
    <numFmt numFmtId="165" formatCode="#,##0 [$kr-41D]"/>
    <numFmt numFmtId="166" formatCode="0 [$kr-41D]"/>
    <numFmt numFmtId="167" formatCode="#,##0.00 [$kr-41D]"/>
    <numFmt numFmtId="168" formatCode="0.0%"/>
    <numFmt numFmtId="169" formatCode="#,##0 &quot;kr&quot;"/>
    <numFmt numFmtId="170" formatCode="yyyy-mm-dd"/>
    <numFmt numFmtId="171" formatCode="mmm yyyy"/>
  </numFmts>
  <fonts count="32">
    <font>
      <name val="Calibri"/>
      <color indexed="8"/>
      <sz val="11"/>
    </font>
    <font>
      <name val="Calibri"/>
      <color indexed="8"/>
      <sz val="12"/>
    </font>
    <font>
      <name val="Calibri"/>
      <color indexed="8"/>
      <sz val="14"/>
    </font>
    <font>
      <name val="Helvetica Neue"/>
      <color indexed="8"/>
      <sz val="12"/>
    </font>
    <font>
      <name val="Calibri"/>
      <color indexed="11"/>
      <sz val="12"/>
      <u val="single"/>
    </font>
    <font>
      <name val="Calibri"/>
      <color indexed="8"/>
      <sz val="15"/>
    </font>
    <font>
      <name val="Calibri"/>
      <b val="1"/>
      <color indexed="12"/>
      <sz val="16"/>
    </font>
    <font>
      <name val="Calibri"/>
      <i val="1"/>
      <color indexed="13"/>
      <sz val="11"/>
    </font>
    <font>
      <name val="Calibri"/>
      <color indexed="16"/>
      <sz val="11"/>
    </font>
    <font>
      <name val="Calibri"/>
      <b val="1"/>
      <color indexed="12"/>
      <sz val="11"/>
    </font>
    <font>
      <name val="Calibri"/>
      <b val="1"/>
      <color indexed="13"/>
      <sz val="11"/>
    </font>
    <font>
      <name val="Calibri"/>
      <b val="1"/>
      <color indexed="23"/>
      <sz val="11"/>
    </font>
    <font>
      <name val="Calibri"/>
      <color indexed="23"/>
      <sz val="11"/>
    </font>
    <font>
      <name val="Calibri"/>
      <b val="1"/>
      <color indexed="27"/>
      <sz val="11"/>
    </font>
    <font>
      <name val="Calibri"/>
      <color indexed="13"/>
      <sz val="11"/>
    </font>
    <font>
      <name val="Calibri"/>
      <b val="1"/>
      <color indexed="16"/>
      <sz val="11"/>
    </font>
    <font>
      <name val="Calibri"/>
      <color indexed="32"/>
      <sz val="12"/>
    </font>
    <font>
      <name val="Calibri"/>
      <b val="1"/>
      <color indexed="32"/>
      <sz val="10"/>
    </font>
    <font>
      <name val="Calibri"/>
      <b val="1"/>
      <color indexed="34"/>
      <sz val="10"/>
    </font>
    <font>
      <name val="Calibri"/>
      <b val="1"/>
      <color indexed="32"/>
      <sz val="11"/>
    </font>
    <font>
      <name val="Calibri"/>
      <b val="1"/>
      <color indexed="32"/>
      <sz val="12"/>
    </font>
    <font>
      <name val="Calibri"/>
      <color indexed="34"/>
      <sz val="11"/>
    </font>
    <font>
      <name val="Calibri"/>
      <color indexed="32"/>
      <sz val="11"/>
    </font>
    <font>
      <name val="Calibri"/>
      <color indexed="34"/>
      <sz val="10"/>
    </font>
    <font>
      <name val="Calibri"/>
      <color indexed="8"/>
      <sz val="10"/>
    </font>
    <font>
      <name val="Calibri"/>
      <color indexed="34"/>
      <sz val="7"/>
    </font>
    <font>
      <name val="Calibri"/>
      <b val="1"/>
      <color indexed="34"/>
      <sz val="18"/>
    </font>
    <font>
      <name val="Calibri"/>
      <b val="1"/>
      <color indexed="34"/>
      <sz val="11"/>
    </font>
    <font>
      <b val="1"/>
      <color rgb="00FFFFFF"/>
    </font>
    <font>
      <b val="1"/>
    </font>
    <font>
      <b val="1"/>
      <color rgb="00FFFFFF"/>
      <sz val="16"/>
    </font>
    <font/>
  </fonts>
  <fills count="22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33"/>
        <bgColor auto="1"/>
      </patternFill>
    </fill>
    <fill>
      <patternFill patternType="solid">
        <fgColor indexed="35"/>
        <bgColor auto="1"/>
      </patternFill>
    </fill>
    <fill>
      <patternFill patternType="solid">
        <fgColor indexed="37"/>
        <bgColor auto="1"/>
      </patternFill>
    </fill>
    <fill>
      <patternFill patternType="solid">
        <fgColor indexed="39"/>
        <bgColor auto="1"/>
      </patternFill>
    </fill>
    <fill>
      <patternFill patternType="solid">
        <fgColor indexed="43"/>
        <bgColor auto="1"/>
      </patternFill>
    </fill>
    <fill>
      <patternFill patternType="solid">
        <fgColor rgb="00305496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E7E6E6"/>
      </patternFill>
    </fill>
  </fills>
  <borders count="74">
    <border>
      <left/>
      <right/>
      <top/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  <border>
      <left/>
      <right/>
      <top style="thin">
        <color indexed="14"/>
      </top>
      <bottom/>
      <diagonal/>
    </border>
    <border>
      <left style="thin">
        <color indexed="14"/>
      </left>
      <right/>
      <top/>
      <bottom/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/>
      <right/>
      <top/>
      <bottom/>
      <diagonal/>
    </border>
    <border>
      <left style="thin">
        <color indexed="14"/>
      </left>
      <right/>
      <top/>
      <bottom style="thin">
        <color indexed="17"/>
      </bottom>
      <diagonal/>
    </border>
    <border>
      <left/>
      <right/>
      <top/>
      <bottom style="thin">
        <color indexed="17"/>
      </bottom>
      <diagonal/>
    </border>
    <border>
      <left style="thin">
        <color indexed="17"/>
      </left>
      <right/>
      <top style="thin">
        <color indexed="17"/>
      </top>
      <bottom style="hair">
        <color indexed="19"/>
      </bottom>
      <diagonal/>
    </border>
    <border>
      <left/>
      <right/>
      <top style="thin">
        <color indexed="17"/>
      </top>
      <bottom style="hair">
        <color indexed="19"/>
      </bottom>
      <diagonal/>
    </border>
    <border>
      <left/>
      <right style="thin">
        <color indexed="17"/>
      </right>
      <top style="thin">
        <color indexed="17"/>
      </top>
      <bottom style="hair">
        <color indexed="19"/>
      </bottom>
      <diagonal/>
    </border>
    <border>
      <left style="thin">
        <color indexed="17"/>
      </left>
      <right/>
      <top/>
      <bottom/>
      <diagonal/>
    </border>
    <border>
      <left style="thin">
        <color indexed="17"/>
      </left>
      <right/>
      <top style="hair">
        <color indexed="19"/>
      </top>
      <bottom style="hair">
        <color indexed="19"/>
      </bottom>
      <diagonal/>
    </border>
    <border>
      <left/>
      <right/>
      <top style="hair">
        <color indexed="19"/>
      </top>
      <bottom style="hair">
        <color indexed="19"/>
      </bottom>
      <diagonal/>
    </border>
    <border>
      <left/>
      <right style="thin">
        <color indexed="21"/>
      </right>
      <top style="hair">
        <color indexed="19"/>
      </top>
      <bottom style="hair">
        <color indexed="19"/>
      </bottom>
      <diagonal/>
    </border>
    <border>
      <left style="thin">
        <color indexed="21"/>
      </left>
      <right/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hair">
        <color indexed="19"/>
      </bottom>
      <diagonal/>
    </border>
    <border>
      <left style="thin">
        <color indexed="14"/>
      </left>
      <right style="thin">
        <color indexed="14"/>
      </right>
      <top style="hair">
        <color indexed="19"/>
      </top>
      <bottom style="thin">
        <color indexed="14"/>
      </bottom>
      <diagonal/>
    </border>
    <border>
      <left/>
      <right style="thin">
        <color indexed="22"/>
      </right>
      <top style="hair">
        <color indexed="19"/>
      </top>
      <bottom style="hair">
        <color indexed="19"/>
      </bottom>
      <diagonal/>
    </border>
    <border>
      <left style="thin">
        <color indexed="22"/>
      </left>
      <right/>
      <top/>
      <bottom/>
      <diagonal/>
    </border>
    <border>
      <left/>
      <right style="thin">
        <color indexed="25"/>
      </right>
      <top style="hair">
        <color indexed="19"/>
      </top>
      <bottom style="hair">
        <color indexed="19"/>
      </bottom>
      <diagonal/>
    </border>
    <border>
      <left style="thin">
        <color indexed="25"/>
      </left>
      <right/>
      <top/>
      <bottom/>
      <diagonal/>
    </border>
    <border>
      <left/>
      <right style="thin">
        <color indexed="26"/>
      </right>
      <top style="hair">
        <color indexed="19"/>
      </top>
      <bottom style="hair">
        <color indexed="19"/>
      </bottom>
      <diagonal/>
    </border>
    <border>
      <left style="thin">
        <color indexed="26"/>
      </left>
      <right/>
      <top/>
      <bottom/>
      <diagonal/>
    </border>
    <border>
      <left/>
      <right style="thin">
        <color indexed="29"/>
      </right>
      <top style="hair">
        <color indexed="19"/>
      </top>
      <bottom style="hair">
        <color indexed="19"/>
      </bottom>
      <diagonal/>
    </border>
    <border>
      <left style="thin">
        <color indexed="29"/>
      </left>
      <right/>
      <top/>
      <bottom/>
      <diagonal/>
    </border>
    <border>
      <left style="thin">
        <color indexed="17"/>
      </left>
      <right/>
      <top style="hair">
        <color indexed="19"/>
      </top>
      <bottom style="thin">
        <color indexed="31"/>
      </bottom>
      <diagonal/>
    </border>
    <border>
      <left/>
      <right/>
      <top style="hair">
        <color indexed="19"/>
      </top>
      <bottom style="thin">
        <color indexed="31"/>
      </bottom>
      <diagonal/>
    </border>
    <border>
      <left style="thin">
        <color indexed="31"/>
      </left>
      <right/>
      <top style="thin">
        <color indexed="31"/>
      </top>
      <bottom style="hair">
        <color indexed="19"/>
      </bottom>
      <diagonal/>
    </border>
    <border>
      <left/>
      <right/>
      <top style="thin">
        <color indexed="31"/>
      </top>
      <bottom style="hair">
        <color indexed="19"/>
      </bottom>
      <diagonal/>
    </border>
    <border>
      <left/>
      <right style="thin">
        <color indexed="31"/>
      </right>
      <top style="thin">
        <color indexed="31"/>
      </top>
      <bottom style="hair">
        <color indexed="19"/>
      </bottom>
      <diagonal/>
    </border>
    <border>
      <left style="thin">
        <color indexed="31"/>
      </left>
      <right/>
      <top/>
      <bottom/>
      <diagonal/>
    </border>
    <border>
      <left style="thin">
        <color indexed="17"/>
      </left>
      <right style="thin">
        <color indexed="14"/>
      </right>
      <top style="hair">
        <color indexed="19"/>
      </top>
      <bottom style="thin">
        <color indexed="31"/>
      </bottom>
      <diagonal/>
    </border>
    <border>
      <left style="thin">
        <color indexed="14"/>
      </left>
      <right style="thin">
        <color indexed="14"/>
      </right>
      <top style="hair">
        <color indexed="19"/>
      </top>
      <bottom style="thin">
        <color indexed="31"/>
      </bottom>
      <diagonal/>
    </border>
    <border>
      <left style="thin">
        <color indexed="14"/>
      </left>
      <right style="thin">
        <color indexed="29"/>
      </right>
      <top style="hair">
        <color indexed="19"/>
      </top>
      <bottom style="thin">
        <color indexed="31"/>
      </bottom>
      <diagonal/>
    </border>
    <border>
      <left/>
      <right style="thin">
        <color indexed="36"/>
      </right>
      <top style="thin">
        <color indexed="31"/>
      </top>
      <bottom style="hair">
        <color indexed="19"/>
      </bottom>
      <diagonal/>
    </border>
    <border>
      <left style="thin">
        <color indexed="36"/>
      </left>
      <right/>
      <top style="thin">
        <color indexed="31"/>
      </top>
      <bottom style="hair">
        <color indexed="19"/>
      </bottom>
      <diagonal/>
    </border>
    <border>
      <left style="thin">
        <color indexed="31"/>
      </left>
      <right style="thin">
        <color indexed="14"/>
      </right>
      <top/>
      <bottom style="thin">
        <color indexed="14"/>
      </bottom>
      <diagonal/>
    </border>
    <border>
      <left/>
      <right style="thin">
        <color indexed="38"/>
      </right>
      <top style="hair">
        <color indexed="19"/>
      </top>
      <bottom style="hair">
        <color indexed="19"/>
      </bottom>
      <diagonal/>
    </border>
    <border>
      <left style="thin">
        <color indexed="38"/>
      </left>
      <right/>
      <top style="hair">
        <color indexed="19"/>
      </top>
      <bottom style="hair">
        <color indexed="19"/>
      </bottom>
      <diagonal/>
    </border>
    <border>
      <left/>
      <right style="thin">
        <color indexed="14"/>
      </right>
      <top style="hair">
        <color indexed="19"/>
      </top>
      <bottom style="hair">
        <color indexed="19"/>
      </bottom>
      <diagonal/>
    </border>
    <border>
      <left style="thin">
        <color indexed="17"/>
      </left>
      <right/>
      <top style="hair">
        <color indexed="19"/>
      </top>
      <bottom style="thin">
        <color indexed="17"/>
      </bottom>
      <diagonal/>
    </border>
    <border>
      <left/>
      <right/>
      <top style="hair">
        <color indexed="19"/>
      </top>
      <bottom style="thin">
        <color indexed="17"/>
      </bottom>
      <diagonal/>
    </border>
    <border>
      <left/>
      <right style="thin">
        <color indexed="38"/>
      </right>
      <top style="hair">
        <color indexed="19"/>
      </top>
      <bottom style="thin">
        <color indexed="17"/>
      </bottom>
      <diagonal/>
    </border>
    <border>
      <left style="thin">
        <color indexed="38"/>
      </left>
      <right/>
      <top style="hair">
        <color indexed="19"/>
      </top>
      <bottom style="thin">
        <color indexed="17"/>
      </bottom>
      <diagonal/>
    </border>
    <border>
      <left/>
      <right style="thin">
        <color indexed="14"/>
      </right>
      <top style="hair">
        <color indexed="19"/>
      </top>
      <bottom style="thin">
        <color indexed="17"/>
      </bottom>
      <diagonal/>
    </border>
    <border>
      <left style="thin">
        <color indexed="14"/>
      </left>
      <right/>
      <top style="thin">
        <color indexed="17"/>
      </top>
      <bottom style="thin">
        <color indexed="40"/>
      </bottom>
      <diagonal/>
    </border>
    <border>
      <left/>
      <right/>
      <top style="thin">
        <color indexed="17"/>
      </top>
      <bottom style="thin">
        <color indexed="40"/>
      </bottom>
      <diagonal/>
    </border>
    <border>
      <left/>
      <right/>
      <top style="thin">
        <color indexed="17"/>
      </top>
      <bottom/>
      <diagonal/>
    </border>
    <border>
      <left/>
      <right style="thin">
        <color indexed="14"/>
      </right>
      <top style="thin">
        <color indexed="17"/>
      </top>
      <bottom style="thin">
        <color indexed="14"/>
      </bottom>
      <diagonal/>
    </border>
    <border>
      <left style="thin">
        <color indexed="40"/>
      </left>
      <right/>
      <top style="thin">
        <color indexed="40"/>
      </top>
      <bottom/>
      <diagonal/>
    </border>
    <border>
      <left/>
      <right/>
      <top style="thin">
        <color indexed="40"/>
      </top>
      <bottom/>
      <diagonal/>
    </border>
    <border>
      <left/>
      <right style="thin">
        <color indexed="40"/>
      </right>
      <top style="thin">
        <color indexed="40"/>
      </top>
      <bottom/>
      <diagonal/>
    </border>
    <border>
      <left style="thin">
        <color indexed="40"/>
      </left>
      <right/>
      <top/>
      <bottom/>
      <diagonal/>
    </border>
    <border>
      <left/>
      <right style="thin">
        <color indexed="40"/>
      </right>
      <top/>
      <bottom/>
      <diagonal/>
    </border>
    <border>
      <left style="thin">
        <color indexed="40"/>
      </left>
      <right style="thin">
        <color indexed="14"/>
      </right>
      <top/>
      <bottom style="thin">
        <color indexed="14"/>
      </bottom>
      <diagonal/>
    </border>
    <border>
      <left style="thin">
        <color indexed="14"/>
      </left>
      <right style="thin">
        <color indexed="14"/>
      </right>
      <top/>
      <bottom style="thin">
        <color indexed="14"/>
      </bottom>
      <diagonal/>
    </border>
    <border>
      <left style="thin">
        <color indexed="14"/>
      </left>
      <right style="thin">
        <color indexed="40"/>
      </right>
      <top/>
      <bottom style="thin">
        <color indexed="14"/>
      </bottom>
      <diagonal/>
    </border>
    <border>
      <left style="thin">
        <color indexed="40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40"/>
      </right>
      <top style="thin">
        <color indexed="14"/>
      </top>
      <bottom style="thin">
        <color indexed="14"/>
      </bottom>
      <diagonal/>
    </border>
    <border>
      <left style="thin">
        <color indexed="40"/>
      </left>
      <right style="thin">
        <color indexed="14"/>
      </right>
      <top style="thin">
        <color indexed="14"/>
      </top>
      <bottom style="thin">
        <color indexed="4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40"/>
      </bottom>
      <diagonal/>
    </border>
    <border>
      <left style="thin">
        <color indexed="14"/>
      </left>
      <right style="thin">
        <color indexed="40"/>
      </right>
      <top style="thin">
        <color indexed="14"/>
      </top>
      <bottom style="thin">
        <color indexed="40"/>
      </bottom>
      <diagonal/>
    </border>
    <border>
      <left style="thin">
        <color indexed="14"/>
      </left>
      <right style="thin">
        <color indexed="14"/>
      </right>
      <top style="thin">
        <color indexed="40"/>
      </top>
      <bottom style="thin">
        <color indexed="14"/>
      </bottom>
      <diagonal/>
    </border>
    <border>
      <left style="thin">
        <color indexed="14"/>
      </left>
      <right/>
      <top/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/>
      <right/>
      <top style="thin">
        <color indexed="14"/>
      </top>
      <bottom style="thin">
        <color indexed="14"/>
      </bottom>
      <diagonal/>
    </border>
    <border>
      <left/>
      <right style="thin">
        <color indexed="14"/>
      </right>
      <top/>
      <bottom/>
      <diagonal/>
    </border>
    <border>
      <left/>
      <right style="thin">
        <color indexed="14"/>
      </right>
      <top/>
      <bottom style="thin">
        <color indexed="1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9" applyAlignment="1">
      <alignment vertical="bottom"/>
    </xf>
  </cellStyleXfs>
  <cellXfs count="20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bottom" wrapText="1"/>
    </xf>
    <xf numFmtId="0" fontId="2" fillId="0" borderId="0" applyAlignment="1" pivotButton="0" quotePrefix="0" xfId="0">
      <alignment horizontal="left" vertical="bottom"/>
    </xf>
    <xf numFmtId="0" fontId="1" fillId="2" borderId="0" applyAlignment="1" pivotButton="0" quotePrefix="0" xfId="0">
      <alignment horizontal="left" vertical="bottom"/>
    </xf>
    <xf numFmtId="0" fontId="1" fillId="3" borderId="0" applyAlignment="1" pivotButton="0" quotePrefix="0" xfId="0">
      <alignment horizontal="left" vertical="bottom"/>
    </xf>
    <xf numFmtId="0" fontId="4" fillId="3" borderId="0" applyAlignment="1" pivotButton="0" quotePrefix="0" xfId="0">
      <alignment horizontal="left" vertical="bottom"/>
    </xf>
    <xf numFmtId="0" fontId="0" fillId="0" borderId="0" applyAlignment="1" pivotButton="0" quotePrefix="0" xfId="0">
      <alignment vertical="bottom"/>
    </xf>
    <xf numFmtId="49" fontId="6" fillId="4" borderId="1" applyAlignment="1" pivotButton="0" quotePrefix="0" xfId="0">
      <alignment horizontal="left" vertical="center"/>
    </xf>
    <xf numFmtId="0" fontId="0" fillId="5" borderId="2" applyAlignment="1" pivotButton="0" quotePrefix="0" xfId="0">
      <alignment vertical="bottom"/>
    </xf>
    <xf numFmtId="0" fontId="0" fillId="5" borderId="3" applyAlignment="1" pivotButton="0" quotePrefix="0" xfId="0">
      <alignment vertical="bottom"/>
    </xf>
    <xf numFmtId="0" fontId="0" fillId="5" borderId="4" applyAlignment="1" pivotButton="0" quotePrefix="0" xfId="0">
      <alignment vertical="bottom"/>
    </xf>
    <xf numFmtId="0" fontId="0" fillId="5" borderId="5" applyAlignment="1" pivotButton="0" quotePrefix="0" xfId="0">
      <alignment vertical="bottom"/>
    </xf>
    <xf numFmtId="49" fontId="7" fillId="6" borderId="6" applyAlignment="1" pivotButton="0" quotePrefix="0" xfId="0">
      <alignment horizontal="left" vertical="center" wrapText="1"/>
    </xf>
    <xf numFmtId="0" fontId="0" fillId="5" borderId="7" applyAlignment="1" pivotButton="0" quotePrefix="0" xfId="0">
      <alignment vertical="bottom"/>
    </xf>
    <xf numFmtId="0" fontId="0" fillId="5" borderId="8" applyAlignment="1" pivotButton="0" quotePrefix="0" xfId="0">
      <alignment vertical="bottom"/>
    </xf>
    <xf numFmtId="0" fontId="0" fillId="5" borderId="1" applyAlignment="1" pivotButton="0" quotePrefix="0" xfId="0">
      <alignment vertical="bottom"/>
    </xf>
    <xf numFmtId="0" fontId="0" fillId="5" borderId="9" applyAlignment="1" pivotButton="0" quotePrefix="0" xfId="0">
      <alignment vertical="bottom"/>
    </xf>
    <xf numFmtId="0" fontId="8" fillId="5" borderId="10" applyAlignment="1" pivotButton="0" quotePrefix="0" xfId="0">
      <alignment horizontal="left" vertical="center"/>
    </xf>
    <xf numFmtId="0" fontId="8" fillId="5" borderId="11" applyAlignment="1" pivotButton="0" quotePrefix="0" xfId="0">
      <alignment vertical="center"/>
    </xf>
    <xf numFmtId="0" fontId="8" fillId="5" borderId="11" applyAlignment="1" pivotButton="0" quotePrefix="0" xfId="0">
      <alignment vertical="center" wrapText="1"/>
    </xf>
    <xf numFmtId="49" fontId="9" fillId="7" borderId="12" applyAlignment="1" pivotButton="0" quotePrefix="0" xfId="0">
      <alignment horizontal="center" vertical="center"/>
    </xf>
    <xf numFmtId="49" fontId="9" fillId="7" borderId="13" applyAlignment="1" pivotButton="0" quotePrefix="0" xfId="0">
      <alignment horizontal="center" vertical="center"/>
    </xf>
    <xf numFmtId="49" fontId="9" fillId="7" borderId="13" applyAlignment="1" pivotButton="0" quotePrefix="0" xfId="0">
      <alignment horizontal="right" vertical="center"/>
    </xf>
    <xf numFmtId="49" fontId="9" fillId="7" borderId="14" applyAlignment="1" pivotButton="0" quotePrefix="0" xfId="0">
      <alignment horizontal="left" vertical="center" wrapText="1"/>
    </xf>
    <xf numFmtId="0" fontId="0" fillId="5" borderId="15" applyAlignment="1" pivotButton="0" quotePrefix="0" xfId="0">
      <alignment vertical="bottom"/>
    </xf>
    <xf numFmtId="49" fontId="9" fillId="8" borderId="16" applyAlignment="1" pivotButton="0" quotePrefix="0" xfId="0">
      <alignment horizontal="left" vertical="center"/>
    </xf>
    <xf numFmtId="0" fontId="9" fillId="8" borderId="17" applyAlignment="1" pivotButton="0" quotePrefix="0" xfId="0">
      <alignment horizontal="left" vertical="center"/>
    </xf>
    <xf numFmtId="0" fontId="9" fillId="8" borderId="17" applyAlignment="1" pivotButton="0" quotePrefix="0" xfId="0">
      <alignment horizontal="right" vertical="center"/>
    </xf>
    <xf numFmtId="0" fontId="9" fillId="8" borderId="18" applyAlignment="1" pivotButton="0" quotePrefix="0" xfId="0">
      <alignment horizontal="left" vertical="center" wrapText="1"/>
    </xf>
    <xf numFmtId="0" fontId="0" fillId="5" borderId="19" applyAlignment="1" pivotButton="0" quotePrefix="0" xfId="0">
      <alignment vertical="bottom"/>
    </xf>
    <xf numFmtId="0" fontId="0" fillId="5" borderId="20" applyAlignment="1" pivotButton="0" quotePrefix="0" xfId="0">
      <alignment vertical="bottom"/>
    </xf>
    <xf numFmtId="49" fontId="8" fillId="5" borderId="16" applyAlignment="1" pivotButton="0" quotePrefix="0" xfId="0">
      <alignment horizontal="left" vertical="center"/>
    </xf>
    <xf numFmtId="164" fontId="8" fillId="5" borderId="17" applyAlignment="1" pivotButton="0" quotePrefix="0" xfId="0">
      <alignment horizontal="right" vertical="center"/>
    </xf>
    <xf numFmtId="49" fontId="8" fillId="5" borderId="17" applyAlignment="1" pivotButton="0" quotePrefix="0" xfId="0">
      <alignment horizontal="left" vertical="center" wrapText="1"/>
    </xf>
    <xf numFmtId="0" fontId="0" fillId="5" borderId="21" applyAlignment="1" pivotButton="0" quotePrefix="0" xfId="0">
      <alignment vertical="bottom"/>
    </xf>
    <xf numFmtId="49" fontId="10" fillId="6" borderId="16" applyAlignment="1" pivotButton="0" quotePrefix="0" xfId="0">
      <alignment horizontal="left" vertical="center"/>
    </xf>
    <xf numFmtId="164" fontId="10" fillId="6" borderId="17" applyAlignment="1" pivotButton="0" quotePrefix="0" xfId="0">
      <alignment horizontal="right" vertical="center"/>
    </xf>
    <xf numFmtId="0" fontId="10" fillId="6" borderId="22" applyAlignment="1" pivotButton="0" quotePrefix="0" xfId="0">
      <alignment horizontal="left" vertical="center" wrapText="1"/>
    </xf>
    <xf numFmtId="0" fontId="0" fillId="5" borderId="23" applyAlignment="1" pivotButton="0" quotePrefix="0" xfId="0">
      <alignment vertical="bottom"/>
    </xf>
    <xf numFmtId="0" fontId="8" fillId="5" borderId="16" applyAlignment="1" pivotButton="0" quotePrefix="0" xfId="0">
      <alignment horizontal="left" vertical="center"/>
    </xf>
    <xf numFmtId="0" fontId="8" fillId="5" borderId="17" applyAlignment="1" pivotButton="0" quotePrefix="0" xfId="0">
      <alignment horizontal="right" vertical="center"/>
    </xf>
    <xf numFmtId="0" fontId="8" fillId="5" borderId="17" applyAlignment="1" pivotButton="0" quotePrefix="0" xfId="0">
      <alignment horizontal="left" vertical="center" wrapText="1"/>
    </xf>
    <xf numFmtId="49" fontId="11" fillId="9" borderId="16" applyAlignment="1" pivotButton="0" quotePrefix="0" xfId="0">
      <alignment horizontal="left" vertical="center"/>
    </xf>
    <xf numFmtId="9" fontId="11" fillId="9" borderId="17" applyAlignment="1" pivotButton="0" quotePrefix="0" xfId="0">
      <alignment horizontal="right" vertical="center"/>
    </xf>
    <xf numFmtId="49" fontId="11" fillId="9" borderId="24" applyAlignment="1" pivotButton="0" quotePrefix="0" xfId="0">
      <alignment horizontal="left" vertical="center" wrapText="1"/>
    </xf>
    <xf numFmtId="0" fontId="0" fillId="5" borderId="25" applyAlignment="1" pivotButton="0" quotePrefix="0" xfId="0">
      <alignment vertical="bottom"/>
    </xf>
    <xf numFmtId="49" fontId="12" fillId="9" borderId="16" applyAlignment="1" pivotButton="0" quotePrefix="0" xfId="0">
      <alignment horizontal="left" vertical="center"/>
    </xf>
    <xf numFmtId="9" fontId="12" fillId="9" borderId="17" applyAlignment="1" pivotButton="0" quotePrefix="0" xfId="0">
      <alignment horizontal="right" vertical="center"/>
    </xf>
    <xf numFmtId="49" fontId="12" fillId="9" borderId="24" applyAlignment="1" pivotButton="0" quotePrefix="0" xfId="0">
      <alignment horizontal="left" vertical="center" wrapText="1"/>
    </xf>
    <xf numFmtId="0" fontId="8" fillId="0" borderId="16" applyAlignment="1" pivotButton="0" quotePrefix="0" xfId="0">
      <alignment horizontal="left" vertical="center"/>
    </xf>
    <xf numFmtId="0" fontId="8" fillId="0" borderId="17" applyAlignment="1" pivotButton="0" quotePrefix="0" xfId="0">
      <alignment horizontal="right" vertical="center"/>
    </xf>
    <xf numFmtId="0" fontId="8" fillId="0" borderId="17" applyAlignment="1" pivotButton="0" quotePrefix="0" xfId="0">
      <alignment horizontal="left" vertical="center" wrapText="1"/>
    </xf>
    <xf numFmtId="49" fontId="8" fillId="5" borderId="26" applyAlignment="1" pivotButton="0" quotePrefix="0" xfId="0">
      <alignment horizontal="left" vertical="center" wrapText="1"/>
    </xf>
    <xf numFmtId="0" fontId="0" fillId="5" borderId="27" applyAlignment="1" pivotButton="0" quotePrefix="0" xfId="0">
      <alignment vertical="bottom"/>
    </xf>
    <xf numFmtId="49" fontId="13" fillId="10" borderId="16" applyAlignment="1" pivotButton="0" quotePrefix="0" xfId="0">
      <alignment horizontal="left" vertical="center"/>
    </xf>
    <xf numFmtId="164" fontId="13" fillId="10" borderId="17" applyAlignment="1" pivotButton="0" quotePrefix="0" xfId="0">
      <alignment horizontal="right" vertical="center"/>
    </xf>
    <xf numFmtId="49" fontId="13" fillId="10" borderId="28" applyAlignment="1" pivotButton="0" quotePrefix="0" xfId="0">
      <alignment horizontal="left" vertical="center" wrapText="1"/>
    </xf>
    <xf numFmtId="0" fontId="0" fillId="5" borderId="29" applyAlignment="1" pivotButton="0" quotePrefix="0" xfId="0">
      <alignment vertical="bottom"/>
    </xf>
    <xf numFmtId="49" fontId="10" fillId="5" borderId="16" applyAlignment="1" pivotButton="0" quotePrefix="0" xfId="0">
      <alignment horizontal="left" vertical="center"/>
    </xf>
    <xf numFmtId="164" fontId="10" fillId="5" borderId="17" applyAlignment="1" pivotButton="0" quotePrefix="0" xfId="0">
      <alignment horizontal="right" vertical="center"/>
    </xf>
    <xf numFmtId="49" fontId="10" fillId="5" borderId="26" applyAlignment="1" pivotButton="0" quotePrefix="0" xfId="0">
      <alignment horizontal="left" vertical="center" wrapText="1"/>
    </xf>
    <xf numFmtId="164" fontId="13" fillId="10" borderId="17" applyAlignment="1" pivotButton="0" quotePrefix="0" xfId="0">
      <alignment horizontal="left" vertical="center"/>
    </xf>
    <xf numFmtId="0" fontId="10" fillId="5" borderId="22" applyAlignment="1" pivotButton="0" quotePrefix="0" xfId="0">
      <alignment horizontal="left" vertical="center" wrapText="1"/>
    </xf>
    <xf numFmtId="165" fontId="8" fillId="5" borderId="17" applyAlignment="1" pivotButton="0" quotePrefix="0" xfId="0">
      <alignment horizontal="right" vertical="center"/>
    </xf>
    <xf numFmtId="49" fontId="14" fillId="0" borderId="16" applyAlignment="1" pivotButton="0" quotePrefix="0" xfId="0">
      <alignment horizontal="left" vertical="center"/>
    </xf>
    <xf numFmtId="164" fontId="14" fillId="0" borderId="17" applyAlignment="1" pivotButton="0" quotePrefix="0" xfId="0">
      <alignment horizontal="right" vertical="center"/>
    </xf>
    <xf numFmtId="49" fontId="14" fillId="0" borderId="22" applyAlignment="1" pivotButton="0" quotePrefix="0" xfId="0">
      <alignment horizontal="left" vertical="center" wrapText="1"/>
    </xf>
    <xf numFmtId="0" fontId="9" fillId="5" borderId="16" applyAlignment="1" pivotButton="0" quotePrefix="0" xfId="0">
      <alignment horizontal="left" vertical="center"/>
    </xf>
    <xf numFmtId="0" fontId="9" fillId="5" borderId="17" applyAlignment="1" pivotButton="0" quotePrefix="0" xfId="0">
      <alignment horizontal="left" vertical="center"/>
    </xf>
    <xf numFmtId="0" fontId="9" fillId="5" borderId="17" applyAlignment="1" pivotButton="0" quotePrefix="0" xfId="0">
      <alignment horizontal="right" vertical="center"/>
    </xf>
    <xf numFmtId="49" fontId="9" fillId="5" borderId="18" applyAlignment="1" pivotButton="0" quotePrefix="0" xfId="0">
      <alignment horizontal="left" vertical="center" wrapText="1"/>
    </xf>
    <xf numFmtId="49" fontId="9" fillId="5" borderId="16" applyAlignment="1" pivotButton="0" quotePrefix="0" xfId="0">
      <alignment horizontal="left" vertical="center"/>
    </xf>
    <xf numFmtId="49" fontId="15" fillId="5" borderId="16" applyAlignment="1" pivotButton="0" quotePrefix="0" xfId="0">
      <alignment horizontal="left" vertical="center"/>
    </xf>
    <xf numFmtId="164" fontId="15" fillId="5" borderId="17" applyAlignment="1" pivotButton="0" quotePrefix="0" xfId="0">
      <alignment horizontal="right" vertical="center"/>
    </xf>
    <xf numFmtId="0" fontId="15" fillId="5" borderId="17" applyAlignment="1" pivotButton="0" quotePrefix="0" xfId="0">
      <alignment horizontal="left" vertical="center" wrapText="1"/>
    </xf>
    <xf numFmtId="3" fontId="8" fillId="5" borderId="17" applyAlignment="1" pivotButton="0" quotePrefix="0" xfId="0">
      <alignment horizontal="right" vertical="center"/>
    </xf>
    <xf numFmtId="49" fontId="8" fillId="5" borderId="30" applyAlignment="1" pivotButton="0" quotePrefix="0" xfId="0">
      <alignment horizontal="left" vertical="center"/>
    </xf>
    <xf numFmtId="166" fontId="8" fillId="5" borderId="31" applyAlignment="1" pivotButton="0" quotePrefix="0" xfId="0">
      <alignment horizontal="right" vertical="center"/>
    </xf>
    <xf numFmtId="49" fontId="8" fillId="5" borderId="31" applyAlignment="1" pivotButton="0" quotePrefix="0" xfId="0">
      <alignment horizontal="left" vertical="center" wrapText="1"/>
    </xf>
    <xf numFmtId="49" fontId="16" fillId="0" borderId="32" applyAlignment="1" pivotButton="0" quotePrefix="0" xfId="0">
      <alignment horizontal="left" vertical="center"/>
    </xf>
    <xf numFmtId="167" fontId="16" fillId="0" borderId="33" applyAlignment="1" pivotButton="0" quotePrefix="0" xfId="0">
      <alignment horizontal="right" vertical="center"/>
    </xf>
    <xf numFmtId="49" fontId="16" fillId="0" borderId="34" applyAlignment="1" pivotButton="0" quotePrefix="0" xfId="0">
      <alignment horizontal="left" vertical="center" wrapText="1"/>
    </xf>
    <xf numFmtId="0" fontId="0" fillId="5" borderId="35" applyAlignment="1" pivotButton="0" quotePrefix="0" xfId="0">
      <alignment vertical="bottom"/>
    </xf>
    <xf numFmtId="49" fontId="17" fillId="11" borderId="16" applyAlignment="1" pivotButton="0" quotePrefix="0" xfId="0">
      <alignment horizontal="left" vertical="center"/>
    </xf>
    <xf numFmtId="165" fontId="18" fillId="5" borderId="17" applyAlignment="1" pivotButton="0" quotePrefix="0" xfId="0">
      <alignment horizontal="right" vertical="center"/>
    </xf>
    <xf numFmtId="0" fontId="17" fillId="5" borderId="28" applyAlignment="1" pivotButton="0" quotePrefix="0" xfId="0">
      <alignment horizontal="left" vertical="center" wrapText="1"/>
    </xf>
    <xf numFmtId="0" fontId="17" fillId="11" borderId="16" applyAlignment="1" pivotButton="0" quotePrefix="0" xfId="0">
      <alignment horizontal="left" vertical="center"/>
    </xf>
    <xf numFmtId="3" fontId="18" fillId="5" borderId="17" applyAlignment="1" pivotButton="0" quotePrefix="0" xfId="0">
      <alignment horizontal="right" vertical="center"/>
    </xf>
    <xf numFmtId="168" fontId="18" fillId="5" borderId="17" applyAlignment="1" pivotButton="0" quotePrefix="0" xfId="0">
      <alignment horizontal="right" vertical="center"/>
    </xf>
    <xf numFmtId="49" fontId="17" fillId="5" borderId="28" applyAlignment="1" pivotButton="0" quotePrefix="0" xfId="0">
      <alignment horizontal="left" vertical="center" wrapText="1"/>
    </xf>
    <xf numFmtId="49" fontId="19" fillId="5" borderId="36" applyAlignment="1" pivotButton="0" quotePrefix="0" xfId="0">
      <alignment horizontal="left" vertical="center"/>
    </xf>
    <xf numFmtId="9" fontId="19" fillId="5" borderId="37" applyAlignment="1" pivotButton="0" quotePrefix="0" xfId="0">
      <alignment horizontal="right" vertical="center"/>
    </xf>
    <xf numFmtId="49" fontId="19" fillId="5" borderId="38" applyAlignment="1" pivotButton="0" quotePrefix="0" xfId="0">
      <alignment horizontal="left" vertical="center" wrapText="1"/>
    </xf>
    <xf numFmtId="0" fontId="20" fillId="12" borderId="32" applyAlignment="1" pivotButton="0" quotePrefix="0" xfId="0">
      <alignment horizontal="left" vertical="center"/>
    </xf>
    <xf numFmtId="0" fontId="20" fillId="12" borderId="33" applyAlignment="1" pivotButton="0" quotePrefix="0" xfId="0">
      <alignment horizontal="left" vertical="center"/>
    </xf>
    <xf numFmtId="0" fontId="20" fillId="12" borderId="39" applyAlignment="1" pivotButton="0" quotePrefix="0" xfId="0">
      <alignment horizontal="left" vertical="center"/>
    </xf>
    <xf numFmtId="0" fontId="20" fillId="12" borderId="40" applyAlignment="1" pivotButton="0" quotePrefix="0" xfId="0">
      <alignment horizontal="right" vertical="center"/>
    </xf>
    <xf numFmtId="0" fontId="20" fillId="12" borderId="34" applyAlignment="1" pivotButton="0" quotePrefix="0" xfId="0">
      <alignment horizontal="left" vertical="center" wrapText="1"/>
    </xf>
    <xf numFmtId="0" fontId="0" fillId="5" borderId="41" applyAlignment="1" pivotButton="0" quotePrefix="0" xfId="0">
      <alignment vertical="bottom"/>
    </xf>
    <xf numFmtId="49" fontId="17" fillId="13" borderId="16" applyAlignment="1" pivotButton="0" quotePrefix="0" xfId="0">
      <alignment horizontal="left" vertical="center"/>
    </xf>
    <xf numFmtId="3" fontId="19" fillId="13" borderId="17" applyAlignment="1" pivotButton="0" quotePrefix="0" xfId="0">
      <alignment horizontal="right" vertical="center"/>
    </xf>
    <xf numFmtId="3" fontId="19" fillId="13" borderId="42" applyAlignment="1" pivotButton="0" quotePrefix="0" xfId="0">
      <alignment horizontal="right" vertical="center"/>
    </xf>
    <xf numFmtId="3" fontId="19" fillId="13" borderId="43" applyAlignment="1" pivotButton="0" quotePrefix="0" xfId="0">
      <alignment horizontal="right" vertical="center"/>
    </xf>
    <xf numFmtId="0" fontId="19" fillId="13" borderId="17" applyAlignment="1" pivotButton="0" quotePrefix="0" xfId="0">
      <alignment horizontal="left" vertical="center" wrapText="1"/>
    </xf>
    <xf numFmtId="49" fontId="17" fillId="14" borderId="16" applyAlignment="1" pivotButton="0" quotePrefix="0" xfId="0">
      <alignment horizontal="left" vertical="center"/>
    </xf>
    <xf numFmtId="3" fontId="21" fillId="5" borderId="17" applyAlignment="1" pivotButton="0" quotePrefix="0" xfId="0">
      <alignment horizontal="right" vertical="center"/>
    </xf>
    <xf numFmtId="3" fontId="21" fillId="5" borderId="42" applyAlignment="1" pivotButton="0" quotePrefix="0" xfId="0">
      <alignment horizontal="right" vertical="center"/>
    </xf>
    <xf numFmtId="3" fontId="21" fillId="5" borderId="43" applyAlignment="1" pivotButton="0" quotePrefix="0" xfId="0">
      <alignment horizontal="right" vertical="center"/>
    </xf>
    <xf numFmtId="49" fontId="22" fillId="5" borderId="44" applyAlignment="1" pivotButton="0" quotePrefix="0" xfId="0">
      <alignment horizontal="left" vertical="center" wrapText="1"/>
    </xf>
    <xf numFmtId="49" fontId="17" fillId="14" borderId="45" applyAlignment="1" pivotButton="0" quotePrefix="0" xfId="0">
      <alignment horizontal="left" vertical="center"/>
    </xf>
    <xf numFmtId="3" fontId="21" fillId="5" borderId="46" applyAlignment="1" pivotButton="0" quotePrefix="0" xfId="0">
      <alignment horizontal="right" vertical="center"/>
    </xf>
    <xf numFmtId="3" fontId="21" fillId="5" borderId="47" applyAlignment="1" pivotButton="0" quotePrefix="0" xfId="0">
      <alignment horizontal="right" vertical="center"/>
    </xf>
    <xf numFmtId="3" fontId="21" fillId="5" borderId="48" applyAlignment="1" pivotButton="0" quotePrefix="0" xfId="0">
      <alignment horizontal="right" vertical="center"/>
    </xf>
    <xf numFmtId="49" fontId="22" fillId="5" borderId="49" applyAlignment="1" pivotButton="0" quotePrefix="0" xfId="0">
      <alignment horizontal="left" vertical="center" wrapText="1"/>
    </xf>
    <xf numFmtId="49" fontId="19" fillId="14" borderId="50" applyAlignment="1" pivotButton="0" quotePrefix="0" xfId="0">
      <alignment vertical="bottom"/>
    </xf>
    <xf numFmtId="3" fontId="0" fillId="5" borderId="51" applyAlignment="1" pivotButton="0" quotePrefix="0" xfId="0">
      <alignment vertical="bottom"/>
    </xf>
    <xf numFmtId="3" fontId="0" fillId="5" borderId="52" applyAlignment="1" pivotButton="0" quotePrefix="0" xfId="0">
      <alignment vertical="bottom"/>
    </xf>
    <xf numFmtId="49" fontId="22" fillId="5" borderId="53" applyAlignment="1" pivotButton="0" quotePrefix="0" xfId="0">
      <alignment vertical="bottom"/>
    </xf>
    <xf numFmtId="0" fontId="17" fillId="14" borderId="54" applyAlignment="1" pivotButton="0" quotePrefix="0" xfId="0">
      <alignment vertical="bottom"/>
    </xf>
    <xf numFmtId="3" fontId="18" fillId="5" borderId="55" applyAlignment="1" pivotButton="0" quotePrefix="0" xfId="0">
      <alignment vertical="bottom"/>
    </xf>
    <xf numFmtId="3" fontId="18" fillId="5" borderId="56" applyAlignment="1" pivotButton="0" quotePrefix="0" xfId="0">
      <alignment vertical="bottom"/>
    </xf>
    <xf numFmtId="3" fontId="0" fillId="5" borderId="57" applyAlignment="1" pivotButton="0" quotePrefix="0" xfId="0">
      <alignment vertical="bottom"/>
    </xf>
    <xf numFmtId="0" fontId="22" fillId="5" borderId="2" applyAlignment="1" pivotButton="0" quotePrefix="0" xfId="0">
      <alignment vertical="bottom"/>
    </xf>
    <xf numFmtId="49" fontId="17" fillId="14" borderId="57" applyAlignment="1" pivotButton="0" quotePrefix="0" xfId="0">
      <alignment vertical="bottom"/>
    </xf>
    <xf numFmtId="3" fontId="23" fillId="5" borderId="9" applyAlignment="1" pivotButton="0" quotePrefix="0" xfId="0">
      <alignment vertical="bottom"/>
    </xf>
    <xf numFmtId="3" fontId="23" fillId="5" borderId="58" applyAlignment="1" pivotButton="0" quotePrefix="0" xfId="0">
      <alignment vertical="bottom"/>
    </xf>
    <xf numFmtId="0" fontId="17" fillId="5" borderId="59" applyAlignment="1" pivotButton="0" quotePrefix="0" xfId="0">
      <alignment vertical="bottom"/>
    </xf>
    <xf numFmtId="49" fontId="24" fillId="5" borderId="60" applyAlignment="1" pivotButton="0" quotePrefix="0" xfId="0">
      <alignment vertical="bottom"/>
    </xf>
    <xf numFmtId="49" fontId="24" fillId="5" borderId="61" applyAlignment="1" pivotButton="0" quotePrefix="0" xfId="0">
      <alignment vertical="bottom"/>
    </xf>
    <xf numFmtId="49" fontId="0" fillId="5" borderId="59" applyAlignment="1" pivotButton="0" quotePrefix="0" xfId="0">
      <alignment vertical="bottom"/>
    </xf>
    <xf numFmtId="49" fontId="0" fillId="5" borderId="3" applyAlignment="1" pivotButton="0" quotePrefix="0" xfId="0">
      <alignment vertical="bottom"/>
    </xf>
    <xf numFmtId="49" fontId="17" fillId="5" borderId="62" applyAlignment="1" pivotButton="0" quotePrefix="0" xfId="0">
      <alignment vertical="bottom"/>
    </xf>
    <xf numFmtId="3" fontId="24" fillId="5" borderId="3" applyAlignment="1" pivotButton="0" quotePrefix="0" xfId="0">
      <alignment vertical="bottom"/>
    </xf>
    <xf numFmtId="3" fontId="24" fillId="5" borderId="63" applyAlignment="1" pivotButton="0" quotePrefix="0" xfId="0">
      <alignment vertical="bottom"/>
    </xf>
    <xf numFmtId="164" fontId="0" fillId="5" borderId="62" applyAlignment="1" pivotButton="0" quotePrefix="0" xfId="0">
      <alignment vertical="bottom"/>
    </xf>
    <xf numFmtId="49" fontId="0" fillId="5" borderId="4" applyAlignment="1" pivotButton="0" quotePrefix="0" xfId="0">
      <alignment vertical="bottom"/>
    </xf>
    <xf numFmtId="49" fontId="17" fillId="5" borderId="64" applyAlignment="1" pivotButton="0" quotePrefix="0" xfId="0">
      <alignment vertical="bottom"/>
    </xf>
    <xf numFmtId="3" fontId="24" fillId="5" borderId="65" applyAlignment="1" pivotButton="0" quotePrefix="0" xfId="0">
      <alignment vertical="bottom"/>
    </xf>
    <xf numFmtId="3" fontId="24" fillId="5" borderId="66" applyAlignment="1" pivotButton="0" quotePrefix="0" xfId="0">
      <alignment vertical="bottom"/>
    </xf>
    <xf numFmtId="3" fontId="0" fillId="5" borderId="62" applyAlignment="1" pivotButton="0" quotePrefix="0" xfId="0">
      <alignment vertical="bottom"/>
    </xf>
    <xf numFmtId="49" fontId="0" fillId="5" borderId="67" applyAlignment="1" pivotButton="0" quotePrefix="0" xfId="0">
      <alignment vertical="bottom"/>
    </xf>
    <xf numFmtId="4" fontId="0" fillId="5" borderId="67" applyAlignment="1" pivotButton="0" quotePrefix="0" xfId="0">
      <alignment vertical="bottom"/>
    </xf>
    <xf numFmtId="0" fontId="0" fillId="5" borderId="3" applyAlignment="1" pivotButton="0" quotePrefix="0" xfId="0">
      <alignment vertical="bottom"/>
    </xf>
    <xf numFmtId="0" fontId="0" fillId="5" borderId="6" applyAlignment="1" pivotButton="0" quotePrefix="0" xfId="0">
      <alignment vertical="bottom"/>
    </xf>
    <xf numFmtId="0" fontId="0" fillId="5" borderId="68" applyAlignment="1" pivotButton="0" quotePrefix="0" xfId="0">
      <alignment vertical="bottom"/>
    </xf>
    <xf numFmtId="0" fontId="0" fillId="5" borderId="69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27" fillId="5" borderId="3" applyAlignment="1" pivotButton="0" quotePrefix="0" xfId="0">
      <alignment vertical="bottom"/>
    </xf>
    <xf numFmtId="9" fontId="21" fillId="5" borderId="3" applyAlignment="1" pivotButton="0" quotePrefix="0" xfId="0">
      <alignment horizontal="left" vertical="bottom"/>
    </xf>
    <xf numFmtId="0" fontId="0" fillId="0" borderId="0" applyAlignment="1" pivotButton="0" quotePrefix="0" xfId="0">
      <alignment vertical="bottom"/>
    </xf>
    <xf numFmtId="49" fontId="27" fillId="5" borderId="8" applyAlignment="1" pivotButton="0" quotePrefix="0" xfId="0">
      <alignment vertical="bottom"/>
    </xf>
    <xf numFmtId="49" fontId="27" fillId="15" borderId="6" applyAlignment="1" pivotButton="0" quotePrefix="0" xfId="0">
      <alignment vertical="bottom"/>
    </xf>
    <xf numFmtId="49" fontId="0" fillId="5" borderId="6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" fontId="0" fillId="5" borderId="3" applyAlignment="1" pivotButton="0" quotePrefix="0" xfId="0">
      <alignment vertical="bottom"/>
    </xf>
    <xf numFmtId="0" fontId="0" fillId="0" borderId="0" pivotButton="0" quotePrefix="0" xfId="0"/>
    <xf numFmtId="0" fontId="1" fillId="0" borderId="9" applyAlignment="1" pivotButton="0" quotePrefix="0" xfId="0">
      <alignment horizontal="left" vertical="bottom" wrapText="1"/>
    </xf>
    <xf numFmtId="49" fontId="6" fillId="4" borderId="4" applyAlignment="1" pivotButton="0" quotePrefix="0" xfId="0">
      <alignment horizontal="left" vertical="center"/>
    </xf>
    <xf numFmtId="0" fontId="0" fillId="0" borderId="70" pivotButton="0" quotePrefix="0" xfId="0"/>
    <xf numFmtId="164" fontId="8" fillId="5" borderId="17" applyAlignment="1" pivotButton="0" quotePrefix="0" xfId="0">
      <alignment horizontal="right" vertical="center"/>
    </xf>
    <xf numFmtId="164" fontId="10" fillId="6" borderId="17" applyAlignment="1" pivotButton="0" quotePrefix="0" xfId="0">
      <alignment horizontal="right" vertical="center"/>
    </xf>
    <xf numFmtId="164" fontId="13" fillId="10" borderId="17" applyAlignment="1" pivotButton="0" quotePrefix="0" xfId="0">
      <alignment horizontal="right" vertical="center"/>
    </xf>
    <xf numFmtId="164" fontId="10" fillId="5" borderId="17" applyAlignment="1" pivotButton="0" quotePrefix="0" xfId="0">
      <alignment horizontal="right" vertical="center"/>
    </xf>
    <xf numFmtId="164" fontId="13" fillId="10" borderId="17" applyAlignment="1" pivotButton="0" quotePrefix="0" xfId="0">
      <alignment horizontal="left" vertical="center"/>
    </xf>
    <xf numFmtId="165" fontId="8" fillId="5" borderId="17" applyAlignment="1" pivotButton="0" quotePrefix="0" xfId="0">
      <alignment horizontal="right" vertical="center"/>
    </xf>
    <xf numFmtId="164" fontId="14" fillId="0" borderId="17" applyAlignment="1" pivotButton="0" quotePrefix="0" xfId="0">
      <alignment horizontal="right" vertical="center"/>
    </xf>
    <xf numFmtId="164" fontId="15" fillId="5" borderId="17" applyAlignment="1" pivotButton="0" quotePrefix="0" xfId="0">
      <alignment horizontal="right" vertical="center"/>
    </xf>
    <xf numFmtId="166" fontId="8" fillId="5" borderId="31" applyAlignment="1" pivotButton="0" quotePrefix="0" xfId="0">
      <alignment horizontal="right" vertical="center"/>
    </xf>
    <xf numFmtId="167" fontId="16" fillId="0" borderId="33" applyAlignment="1" pivotButton="0" quotePrefix="0" xfId="0">
      <alignment horizontal="right" vertical="center"/>
    </xf>
    <xf numFmtId="165" fontId="18" fillId="5" borderId="17" applyAlignment="1" pivotButton="0" quotePrefix="0" xfId="0">
      <alignment horizontal="right" vertical="center"/>
    </xf>
    <xf numFmtId="168" fontId="18" fillId="5" borderId="17" applyAlignment="1" pivotButton="0" quotePrefix="0" xfId="0">
      <alignment horizontal="right" vertical="center"/>
    </xf>
    <xf numFmtId="164" fontId="0" fillId="5" borderId="62" applyAlignment="1" pivotButton="0" quotePrefix="0" xfId="0">
      <alignment vertical="bottom"/>
    </xf>
    <xf numFmtId="0" fontId="28" fillId="16" borderId="0" pivotButton="0" quotePrefix="0" xfId="0"/>
    <xf numFmtId="0" fontId="29" fillId="17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49" fontId="27" fillId="15" borderId="60" applyAlignment="1" pivotButton="0" quotePrefix="0" xfId="0">
      <alignment vertical="bottom"/>
    </xf>
    <xf numFmtId="0" fontId="0" fillId="0" borderId="72" pivotButton="0" quotePrefix="0" xfId="0"/>
    <xf numFmtId="0" fontId="0" fillId="0" borderId="2" pivotButton="0" quotePrefix="0" xfId="0"/>
    <xf numFmtId="0" fontId="30" fillId="18" borderId="0" applyAlignment="1" pivotButton="0" quotePrefix="0" xfId="0">
      <alignment vertical="center" wrapText="1"/>
    </xf>
    <xf numFmtId="0" fontId="29" fillId="17" borderId="73" applyAlignment="1" pivotButton="0" quotePrefix="0" xfId="0">
      <alignment vertical="center" wrapText="1"/>
    </xf>
    <xf numFmtId="0" fontId="0" fillId="0" borderId="73" applyAlignment="1" pivotButton="0" quotePrefix="0" xfId="0">
      <alignment vertical="center" wrapText="1"/>
    </xf>
    <xf numFmtId="169" fontId="0" fillId="19" borderId="73" applyAlignment="1" pivotButton="0" quotePrefix="0" xfId="0">
      <alignment vertical="center" wrapText="1"/>
    </xf>
    <xf numFmtId="168" fontId="0" fillId="19" borderId="73" applyAlignment="1" pivotButton="0" quotePrefix="0" xfId="0">
      <alignment vertical="center" wrapText="1"/>
    </xf>
    <xf numFmtId="0" fontId="0" fillId="19" borderId="73" applyAlignment="1" pivotButton="0" quotePrefix="0" xfId="0">
      <alignment vertical="center" wrapText="1"/>
    </xf>
    <xf numFmtId="0" fontId="28" fillId="18" borderId="0" applyAlignment="1" pivotButton="0" quotePrefix="0" xfId="0">
      <alignment vertical="center" wrapText="1"/>
    </xf>
    <xf numFmtId="0" fontId="0" fillId="18" borderId="0" pivotButton="0" quotePrefix="0" xfId="0"/>
    <xf numFmtId="0" fontId="29" fillId="20" borderId="73" applyAlignment="1" pivotButton="0" quotePrefix="0" xfId="0">
      <alignment vertical="center" wrapText="1"/>
    </xf>
    <xf numFmtId="0" fontId="30" fillId="18" borderId="0" applyAlignment="1" pivotButton="0" quotePrefix="0" xfId="0">
      <alignment vertical="center"/>
    </xf>
    <xf numFmtId="171" fontId="29" fillId="17" borderId="0" applyAlignment="1" pivotButton="0" quotePrefix="0" xfId="0">
      <alignment horizontal="center"/>
    </xf>
    <xf numFmtId="0" fontId="29" fillId="21" borderId="73" applyAlignment="1" pivotButton="0" quotePrefix="0" xfId="0">
      <alignment vertical="center"/>
    </xf>
    <xf numFmtId="169" fontId="29" fillId="21" borderId="73" applyAlignment="1" pivotButton="0" quotePrefix="0" xfId="0">
      <alignment vertical="center"/>
    </xf>
    <xf numFmtId="0" fontId="0" fillId="0" borderId="73" applyAlignment="1" pivotButton="0" quotePrefix="0" xfId="0">
      <alignment vertical="center"/>
    </xf>
    <xf numFmtId="169" fontId="0" fillId="0" borderId="73" applyAlignment="1" pivotButton="0" quotePrefix="0" xfId="0">
      <alignment vertical="center"/>
    </xf>
    <xf numFmtId="0" fontId="31" fillId="0" borderId="73" applyAlignment="1" pivotButton="0" quotePrefix="0" xfId="0">
      <alignment vertical="center"/>
    </xf>
    <xf numFmtId="0" fontId="29" fillId="20" borderId="73" applyAlignment="1" pivotButton="0" quotePrefix="0" xfId="0">
      <alignment vertical="center"/>
    </xf>
    <xf numFmtId="169" fontId="29" fillId="20" borderId="73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170" fontId="0" fillId="0" borderId="0" pivotButton="0" quotePrefix="0" xfId="0"/>
    <xf numFmtId="169" fontId="0" fillId="0" borderId="0" pivotButton="0" quotePrefix="0" xfId="0"/>
    <xf numFmtId="170" fontId="29" fillId="17" borderId="73" applyAlignment="1" pivotButton="0" quotePrefix="0" xfId="0">
      <alignment vertical="center" wrapText="1"/>
    </xf>
    <xf numFmtId="169" fontId="29" fillId="17" borderId="7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70" fontId="0" fillId="0" borderId="0" applyAlignment="1" pivotButton="0" quotePrefix="0" xfId="0">
      <alignment vertical="center" wrapText="1"/>
    </xf>
    <xf numFmtId="169" fontId="0" fillId="0" borderId="0" applyAlignment="1" pivotButton="0" quotePrefix="0" xfId="0">
      <alignment vertical="center" wrapText="1"/>
    </xf>
  </cellXfs>
  <cellStyles count="1">
    <cellStyle name="Normal" xfId="0" builtinId="0"/>
  </cellStyles>
  <dxfs count="1">
    <dxf>
      <font>
        <color rgb="ffc0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203864"/>
      <rgbColor rgb="ffaaaaaa"/>
      <rgbColor rgb="ffd9e2f3"/>
      <rgbColor rgb="ff1f1f1f"/>
      <rgbColor rgb="ff8faadc"/>
      <rgbColor rgb="ff5b9bd5"/>
      <rgbColor rgb="ffededed"/>
      <rgbColor rgb="ff4472c4"/>
      <rgbColor rgb="ff2f5597"/>
      <rgbColor rgb="ff9fbad0"/>
      <rgbColor rgb="ff7f6000"/>
      <rgbColor rgb="fffff2cc"/>
      <rgbColor rgb="ffd6b656"/>
      <rgbColor rgb="ffd9d9d9"/>
      <rgbColor rgb="ff375623"/>
      <rgbColor rgb="ffe2f0d9"/>
      <rgbColor rgb="ffa9d18e"/>
      <rgbColor rgb="ffc00000"/>
      <rgbColor rgb="ffd1d5db"/>
      <rgbColor rgb="ff1f2937"/>
      <rgbColor rgb="ffeaf1e7"/>
      <rgbColor rgb="ff111827"/>
      <rgbColor rgb="ffd8e5e1"/>
      <rgbColor rgb="ff7f7f7f"/>
      <rgbColor rgb="ffeef2f1"/>
      <rgbColor rgb="ffd0d7de"/>
      <rgbColor rgb="fff3f4f6"/>
      <rgbColor rgb="ffe5e7eb"/>
      <rgbColor rgb="ff88888a"/>
      <rgbColor rgb="ffcccccc"/>
      <rgbColor rgb="fff2f2f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i="0" strike="noStrike">
                <a:solidFill>
                  <a:srgbClr val="111827"/>
                </a:solidFill>
                <a:latin typeface="Calibri"/>
              </a:defRPr>
            </a:pPr>
            <a:r>
              <a:rPr sz="1800" b="1" i="0" strike="noStrike">
                <a:solidFill>
                  <a:srgbClr val="111827"/>
                </a:solidFill>
                <a:latin typeface="Calibri"/>
              </a:rPr>
              <a:t>Resultat och kassaflöde maj–december</a:t>
            </a:r>
          </a:p>
        </rich>
      </tx>
      <layout>
        <manualLayout>
          <xMode val="edge"/>
          <yMode val="edge"/>
          <wMode val="factor"/>
          <hMode val="factor"/>
          <x val="0.338192"/>
          <y val="0"/>
          <w val="0.323617"/>
          <h val="0.130863"/>
        </manualLayout>
      </layout>
      <overlay val="1"/>
      <spPr>
        <a:noFill xmlns:a="http://schemas.openxmlformats.org/drawingml/2006/main"/>
        <a:ln xmlns:a="http://schemas.openxmlformats.org/drawingml/2006/main"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696123"/>
          <y val="0.130863"/>
          <w val="0.925388"/>
          <h val="0.697647"/>
        </manualLayout>
      </layout>
      <lineChart>
        <grouping val="standard"/>
        <varyColors val="0"/>
        <ser>
          <idx val="0"/>
          <order val="0"/>
          <tx>
            <strRef>
              <f>'Hjälptabell'!$B$1</f>
              <strCache>
                <ptCount val="1"/>
                <pt idx="0">
                  <v>Resultat P&amp;L</v>
                </pt>
              </strCache>
            </strRef>
          </tx>
          <spPr>
            <a:noFill xmlns:a="http://schemas.openxmlformats.org/drawingml/2006/main"/>
            <a:ln xmlns:a="http://schemas.openxmlformats.org/drawingml/2006/main" w="19050" cap="flat">
              <a:solidFill>
                <a:schemeClr val="accent1"/>
              </a:solidFill>
              <a:prstDash val="solid"/>
              <a:round/>
            </a:ln>
          </spPr>
          <marker>
            <symbol val="none"/>
            <size val="4"/>
            <spPr>
              <a:noFill xmlns:a="http://schemas.openxmlformats.org/drawingml/2006/main"/>
              <a:ln xmlns:a="http://schemas.openxmlformats.org/drawingml/2006/main" w="19050" cap="flat">
                <a:solidFill>
                  <a:schemeClr val="accent1"/>
                </a:solidFill>
                <a:prstDash val="solid"/>
                <a:round/>
              </a:ln>
            </spPr>
          </marker>
          <dLbls>
            <numFmt formatCode="#,##0.00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i="0" strike="noStrike">
                    <a:solidFill>
                      <a:srgbClr val="111827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t"/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Ref>
              <f>'Hjälptabell'!$A$2:$A$9</f>
              <strCache>
                <ptCount val="8"/>
                <pt idx="0">
                  <v>Maj</v>
                </pt>
                <pt idx="1">
                  <v>Juni</v>
                </pt>
                <pt idx="2">
                  <v>Juli</v>
                </pt>
                <pt idx="3">
                  <v>Augusti</v>
                </pt>
                <pt idx="4">
                  <v>September</v>
                </pt>
                <pt idx="5">
                  <v>Oktober</v>
                </pt>
                <pt idx="6">
                  <v>November</v>
                </pt>
                <pt idx="7">
                  <v>December</v>
                </pt>
              </strCache>
            </strRef>
          </cat>
          <val>
            <numRef>
              <f>'Hjälptabell'!$B$2:$B$9</f>
              <numCache>
                <ptCount val="8"/>
                <pt idx="0">
                  <v>115557.6</v>
                </pt>
                <pt idx="1">
                  <v>99700</v>
                </pt>
                <pt idx="2">
                  <v>-215951.2</v>
                </pt>
                <pt idx="3">
                  <v>50048.8</v>
                </pt>
                <pt idx="4">
                  <v>-57528.8</v>
                </pt>
                <pt idx="5">
                  <v>-57528.8</v>
                </pt>
                <pt idx="6">
                  <v>-57528.8</v>
                </pt>
                <pt idx="7">
                  <v>-57528.8</v>
                </pt>
              </numCache>
            </numRef>
          </val>
          <smooth val="0"/>
        </ser>
        <ser>
          <idx val="1"/>
          <order val="1"/>
          <tx>
            <strRef>
              <f>'Hjälptabell'!$C$1</f>
              <strCache>
                <ptCount val="1"/>
                <pt idx="0">
                  <v>Ack. resultat P&amp;L</v>
                </pt>
              </strCache>
            </strRef>
          </tx>
          <spPr>
            <a:noFill xmlns:a="http://schemas.openxmlformats.org/drawingml/2006/main"/>
            <a:ln xmlns:a="http://schemas.openxmlformats.org/drawingml/2006/main" w="19050" cap="flat">
              <a:solidFill>
                <a:schemeClr val="accent2"/>
              </a:solidFill>
              <a:prstDash val="solid"/>
              <a:round/>
            </a:ln>
          </spPr>
          <marker>
            <symbol val="none"/>
            <size val="4"/>
            <spPr>
              <a:noFill xmlns:a="http://schemas.openxmlformats.org/drawingml/2006/main"/>
              <a:ln xmlns:a="http://schemas.openxmlformats.org/drawingml/2006/main" w="19050" cap="flat">
                <a:solidFill>
                  <a:schemeClr val="accent2"/>
                </a:solidFill>
                <a:prstDash val="solid"/>
                <a:round/>
              </a:ln>
            </spPr>
          </marker>
          <dLbls>
            <numFmt formatCode="#,##0.00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i="0" strike="noStrike">
                    <a:solidFill>
                      <a:srgbClr val="111827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t"/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Ref>
              <f>'Hjälptabell'!$A$2:$A$9</f>
              <strCache>
                <ptCount val="8"/>
                <pt idx="0">
                  <v>Maj</v>
                </pt>
                <pt idx="1">
                  <v>Juni</v>
                </pt>
                <pt idx="2">
                  <v>Juli</v>
                </pt>
                <pt idx="3">
                  <v>Augusti</v>
                </pt>
                <pt idx="4">
                  <v>September</v>
                </pt>
                <pt idx="5">
                  <v>Oktober</v>
                </pt>
                <pt idx="6">
                  <v>November</v>
                </pt>
                <pt idx="7">
                  <v>December</v>
                </pt>
              </strCache>
            </strRef>
          </cat>
          <val>
            <numRef>
              <f>'Hjälptabell'!$C$2:$C$9</f>
              <numCache>
                <ptCount val="8"/>
                <pt idx="0">
                  <v>115557.6</v>
                </pt>
                <pt idx="1">
                  <v>215257.6</v>
                </pt>
                <pt idx="2">
                  <v>-693.6</v>
                </pt>
                <pt idx="3">
                  <v>49355.2</v>
                </pt>
                <pt idx="4">
                  <v>-8173.6</v>
                </pt>
                <pt idx="5">
                  <v>-65702.39999999999</v>
                </pt>
                <pt idx="6">
                  <v>-123231.2</v>
                </pt>
                <pt idx="7">
                  <v>-180760</v>
                </pt>
              </numCache>
            </numRef>
          </val>
          <smooth val="0"/>
        </ser>
        <ser>
          <idx val="2"/>
          <order val="2"/>
          <tx>
            <strRef>
              <f>'Hjälptabell'!$D$1</f>
              <strCache>
                <ptCount val="1"/>
                <pt idx="0">
                  <v>Kassaflöde</v>
                </pt>
              </strCache>
            </strRef>
          </tx>
          <spPr>
            <a:noFill xmlns:a="http://schemas.openxmlformats.org/drawingml/2006/main"/>
            <a:ln xmlns:a="http://schemas.openxmlformats.org/drawingml/2006/main" w="19050" cap="flat">
              <a:solidFill>
                <a:schemeClr val="accent3"/>
              </a:solidFill>
              <a:prstDash val="solid"/>
              <a:round/>
            </a:ln>
          </spPr>
          <marker>
            <symbol val="none"/>
            <size val="4"/>
            <spPr>
              <a:noFill xmlns:a="http://schemas.openxmlformats.org/drawingml/2006/main"/>
              <a:ln xmlns:a="http://schemas.openxmlformats.org/drawingml/2006/main" w="19050" cap="flat">
                <a:solidFill>
                  <a:schemeClr val="accent3"/>
                </a:solidFill>
                <a:prstDash val="solid"/>
                <a:round/>
              </a:ln>
            </spPr>
          </marker>
          <dLbls>
            <numFmt formatCode="#,##0.00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i="0" strike="noStrike">
                    <a:solidFill>
                      <a:srgbClr val="111827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t"/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Ref>
              <f>'Hjälptabell'!$A$2:$A$9</f>
              <strCache>
                <ptCount val="8"/>
                <pt idx="0">
                  <v>Maj</v>
                </pt>
                <pt idx="1">
                  <v>Juni</v>
                </pt>
                <pt idx="2">
                  <v>Juli</v>
                </pt>
                <pt idx="3">
                  <v>Augusti</v>
                </pt>
                <pt idx="4">
                  <v>September</v>
                </pt>
                <pt idx="5">
                  <v>Oktober</v>
                </pt>
                <pt idx="6">
                  <v>November</v>
                </pt>
                <pt idx="7">
                  <v>December</v>
                </pt>
              </strCache>
            </strRef>
          </cat>
          <val>
            <numRef>
              <f>'Hjälptabell'!$D$2:$D$9</f>
              <numCache>
                <ptCount val="8"/>
                <pt idx="0">
                  <v>115557.6</v>
                </pt>
                <pt idx="1">
                  <v>99700</v>
                </pt>
                <pt idx="2">
                  <v>-215951.2</v>
                </pt>
                <pt idx="3">
                  <v>50048.8</v>
                </pt>
                <pt idx="4">
                  <v>-57528.8</v>
                </pt>
                <pt idx="5">
                  <v>-57528.8</v>
                </pt>
                <pt idx="6">
                  <v>-57528.8</v>
                </pt>
                <pt idx="7">
                  <v>-57528.8</v>
                </pt>
              </numCache>
            </numRef>
          </val>
          <smooth val="0"/>
        </ser>
        <ser>
          <idx val="3"/>
          <order val="3"/>
          <tx>
            <strRef>
              <f>'Hjälptabell'!$E$1</f>
              <strCache>
                <ptCount val="1"/>
                <pt idx="0">
                  <v>Ack. kassaflöde</v>
                </pt>
              </strCache>
            </strRef>
          </tx>
          <spPr>
            <a:noFill xmlns:a="http://schemas.openxmlformats.org/drawingml/2006/main"/>
            <a:ln xmlns:a="http://schemas.openxmlformats.org/drawingml/2006/main" w="19050" cap="flat">
              <a:solidFill>
                <a:schemeClr val="accent4"/>
              </a:solidFill>
              <a:prstDash val="solid"/>
              <a:round/>
            </a:ln>
          </spPr>
          <marker>
            <symbol val="none"/>
            <size val="4"/>
            <spPr>
              <a:noFill xmlns:a="http://schemas.openxmlformats.org/drawingml/2006/main"/>
              <a:ln xmlns:a="http://schemas.openxmlformats.org/drawingml/2006/main" w="19050" cap="flat">
                <a:solidFill>
                  <a:schemeClr val="accent4"/>
                </a:solidFill>
                <a:prstDash val="solid"/>
                <a:round/>
              </a:ln>
            </spPr>
          </marker>
          <dLbls>
            <numFmt formatCode="#,##0.00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i="0" strike="noStrike">
                    <a:solidFill>
                      <a:srgbClr val="111827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t"/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Ref>
              <f>'Hjälptabell'!$A$2:$A$9</f>
              <strCache>
                <ptCount val="8"/>
                <pt idx="0">
                  <v>Maj</v>
                </pt>
                <pt idx="1">
                  <v>Juni</v>
                </pt>
                <pt idx="2">
                  <v>Juli</v>
                </pt>
                <pt idx="3">
                  <v>Augusti</v>
                </pt>
                <pt idx="4">
                  <v>September</v>
                </pt>
                <pt idx="5">
                  <v>Oktober</v>
                </pt>
                <pt idx="6">
                  <v>November</v>
                </pt>
                <pt idx="7">
                  <v>December</v>
                </pt>
              </strCache>
            </strRef>
          </cat>
          <val>
            <numRef>
              <f>'Hjälptabell'!$E$2:$E$9</f>
              <numCache>
                <ptCount val="8"/>
                <pt idx="0">
                  <v>115557.6</v>
                </pt>
                <pt idx="1">
                  <v>215257.6</v>
                </pt>
                <pt idx="2">
                  <v>-693.6</v>
                </pt>
                <pt idx="3">
                  <v>49355.2</v>
                </pt>
                <pt idx="4">
                  <v>-8173.6</v>
                </pt>
                <pt idx="5">
                  <v>-65702.39999999999</v>
                </pt>
                <pt idx="6">
                  <v>-123231.2</v>
                </pt>
                <pt idx="7">
                  <v>-180760</v>
                </pt>
              </numCache>
            </numRef>
          </val>
          <smooth val="0"/>
        </ser>
        <marker val="1"/>
        <axId val="2094734552"/>
        <axId val="2094734553"/>
      </lineChart>
      <catAx>
        <axId val="2094734552"/>
        <scaling>
          <orientation val="minMax"/>
        </scaling>
        <delete val="0"/>
        <axPos val="b"/>
        <majorGridlines>
          <spPr>
            <a:ln xmlns:a="http://schemas.openxmlformats.org/drawingml/2006/main" w="12700" cap="flat">
              <a:solidFill>
                <a:srgbClr val="CCCCCC"/>
              </a:solidFill>
              <a:prstDash val="dash"/>
              <a:round/>
            </a:ln>
          </spPr>
        </majorGridlines>
        <numFmt formatCode="General" sourceLinked="1"/>
        <majorTickMark val="none"/>
        <minorTickMark val="none"/>
        <tickLblPos val="low"/>
        <spPr>
          <a:ln xmlns:a="http://schemas.openxmlformats.org/drawingml/2006/main" w="12700" cap="flat">
            <a:solidFill>
              <a:srgbClr val="88898B"/>
            </a:solidFill>
            <a:prstDash val="solid"/>
            <a:round/>
          </a:ln>
        </spPr>
        <txPr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000" b="0" i="0" strike="noStrike">
                <a:solidFill>
                  <a:srgbClr val="111827"/>
                </a:solidFill>
                <a:latin typeface="Calibri"/>
              </a:defRPr>
            </a:pPr>
            <a:r>
              <a:t>None</a:t>
            </a:r>
          </a:p>
        </txPr>
        <crossAx val="2094734553"/>
        <crosses val="autoZero"/>
        <auto val="1"/>
        <lblAlgn val="ctr"/>
        <lblOffset val="100"/>
        <noMultiLvlLbl val="1"/>
      </catAx>
      <valAx>
        <axId val="2094734553"/>
        <scaling>
          <orientation val="minMax"/>
        </scaling>
        <delete val="0"/>
        <axPos val="l"/>
        <majorGridlines>
          <spPr>
            <a:ln xmlns:a="http://schemas.openxmlformats.org/drawingml/2006/main" w="12700" cap="flat">
              <a:solidFill>
                <a:srgbClr val="CCCCCC"/>
              </a:solidFill>
              <a:prstDash val="dash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12700" cap="flat">
            <a:solidFill>
              <a:srgbClr val="88898B"/>
            </a:solidFill>
            <a:prstDash val="solid"/>
            <a:round/>
          </a:ln>
        </spPr>
        <txPr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000" b="0" i="0" strike="noStrike">
                <a:solidFill>
                  <a:srgbClr val="111827"/>
                </a:solidFill>
                <a:latin typeface="Calibri"/>
              </a:defRPr>
            </a:pPr>
            <a:r>
              <a:t>None</a:t>
            </a:r>
          </a:p>
        </txPr>
        <crossAx val="2094734552"/>
        <crosses val="autoZero"/>
        <crossBetween val="between"/>
        <majorUnit val="150000"/>
        <minorUnit val="75000"/>
      </valAx>
    </plotArea>
    <legend>
      <legendPos val="b"/>
      <layout>
        <manualLayout>
          <xMode val="edge"/>
          <yMode val="edge"/>
          <wMode val="factor"/>
          <hMode val="factor"/>
          <x val="0.454385"/>
          <y val="0.9182439999999999"/>
          <w val="0.150545"/>
          <h val="0.081756"/>
        </manualLayout>
      </layout>
      <overlay val="1"/>
      <spPr>
        <a:noFill xmlns:a="http://schemas.openxmlformats.org/drawingml/2006/main"/>
        <a:ln xmlns:a="http://schemas.openxmlformats.org/drawingml/2006/main" w="12700" cap="flat">
          <a:noFill/>
          <a:prstDash val="solid"/>
          <a:miter lim="400000"/>
        </a:ln>
      </spPr>
      <txPr>
        <a:bodyPr xmlns:a="http://schemas.openxmlformats.org/drawingml/2006/main" rot="0"/>
        <a:lstStyle xmlns:a="http://schemas.openxmlformats.org/drawingml/2006/main"/>
        <a:p xmlns:a="http://schemas.openxmlformats.org/drawingml/2006/main">
          <a:pPr>
            <a:defRPr sz="700" b="0" i="0" strike="noStrike">
              <a:solidFill>
                <a:srgbClr val="111827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12700" cap="flat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Codex</author>
  </authors>
  <commentList>
    <comment ref="B25" authorId="0" shapeId="0">
      <text>
        <t>Hämtas från Inmatning. Skriv över cellen manuellt om denna månad ska avvika.</t>
      </text>
    </comment>
    <comment ref="C25" authorId="0" shapeId="0">
      <text>
        <t>Hämtas från Inmatning. Skriv över cellen manuellt om denna månad ska avvika.</t>
      </text>
    </comment>
    <comment ref="D25" authorId="0" shapeId="0">
      <text>
        <t>Hämtas från Inmatning. Skriv över cellen manuellt om denna månad ska avvika.</t>
      </text>
    </comment>
    <comment ref="E25" authorId="0" shapeId="0">
      <text>
        <t>Hämtas från Inmatning. Skriv över cellen manuellt om denna månad ska avvika.</t>
      </text>
    </comment>
    <comment ref="F25" authorId="0" shapeId="0">
      <text>
        <t>Hämtas från Inmatning. Skriv över cellen manuellt om denna månad ska avvika.</t>
      </text>
    </comment>
    <comment ref="G25" authorId="0" shapeId="0">
      <text>
        <t>Hämtas från Inmatning. Skriv över cellen manuellt om denna månad ska avvika.</t>
      </text>
    </comment>
    <comment ref="H25" authorId="0" shapeId="0">
      <text>
        <t>Hämtas från Inmatning. Skriv över cellen manuellt om denna månad ska avvika.</t>
      </text>
    </comment>
    <comment ref="I25" authorId="0" shapeId="0">
      <text>
        <t>Hämtas från Inmatning. Skriv över cellen manuellt om denna månad ska avvika.</t>
      </text>
    </comment>
    <comment ref="B27" authorId="0" shapeId="0">
      <text>
        <t>Hämtas från personens pensionssats i Inmatning. Skriv över manuellt vid månadsavvikelse.</t>
      </text>
    </comment>
    <comment ref="C27" authorId="0" shapeId="0">
      <text>
        <t>Hämtas från personens pensionssats i Inmatning. Skriv över manuellt vid månadsavvikelse.</t>
      </text>
    </comment>
    <comment ref="D27" authorId="0" shapeId="0">
      <text>
        <t>Hämtas från personens pensionssats i Inmatning. Skriv över manuellt vid månadsavvikelse.</t>
      </text>
    </comment>
    <comment ref="E27" authorId="0" shapeId="0">
      <text>
        <t>Hämtas från personens pensionssats i Inmatning. Skriv över manuellt vid månadsavvikelse.</t>
      </text>
    </comment>
    <comment ref="F27" authorId="0" shapeId="0">
      <text>
        <t>Hämtas från personens pensionssats i Inmatning. Skriv över manuellt vid månadsavvikelse.</t>
      </text>
    </comment>
    <comment ref="G27" authorId="0" shapeId="0">
      <text>
        <t>Hämtas från personens pensionssats i Inmatning. Skriv över manuellt vid månadsavvikelse.</t>
      </text>
    </comment>
    <comment ref="H27" authorId="0" shapeId="0">
      <text>
        <t>Hämtas från personens pensionssats i Inmatning. Skriv över manuellt vid månadsavvikelse.</t>
      </text>
    </comment>
    <comment ref="I27" authorId="0" shapeId="0">
      <text>
        <t>Hämtas från personens pensionssats i Inmatning. Skriv över manuellt vid månadsavvikelse.</t>
      </text>
    </comment>
    <comment ref="B32" authorId="0" shapeId="0">
      <text>
        <t>Hämtas från Inmatning. Skriv över cellen manuellt om denna månad ska avvika.</t>
      </text>
    </comment>
    <comment ref="C32" authorId="0" shapeId="0">
      <text>
        <t>Hämtas från Inmatning. Skriv över cellen manuellt om denna månad ska avvika.</t>
      </text>
    </comment>
    <comment ref="D32" authorId="0" shapeId="0">
      <text>
        <t>Hämtas från Inmatning. Skriv över cellen manuellt om denna månad ska avvika.</t>
      </text>
    </comment>
    <comment ref="E32" authorId="0" shapeId="0">
      <text>
        <t>Hämtas från Inmatning. Skriv över cellen manuellt om denna månad ska avvika.</t>
      </text>
    </comment>
    <comment ref="F32" authorId="0" shapeId="0">
      <text>
        <t>Hämtas från Inmatning. Skriv över cellen manuellt om denna månad ska avvika.</t>
      </text>
    </comment>
    <comment ref="G32" authorId="0" shapeId="0">
      <text>
        <t>Hämtas från Inmatning. Skriv över cellen manuellt om denna månad ska avvika.</t>
      </text>
    </comment>
    <comment ref="H32" authorId="0" shapeId="0">
      <text>
        <t>Hämtas från Inmatning. Skriv över cellen manuellt om denna månad ska avvika.</t>
      </text>
    </comment>
    <comment ref="I32" authorId="0" shapeId="0">
      <text>
        <t>Hämtas från Inmatning. Skriv över cellen manuellt om denna månad ska avvika.</t>
      </text>
    </comment>
    <comment ref="B34" authorId="0" shapeId="0">
      <text>
        <t>Hämtas från personens pensionssats i Inmatning. Skriv över manuellt vid månadsavvikelse.</t>
      </text>
    </comment>
    <comment ref="C34" authorId="0" shapeId="0">
      <text>
        <t>Hämtas från personens pensionssats i Inmatning. Skriv över manuellt vid månadsavvikelse.</t>
      </text>
    </comment>
    <comment ref="D34" authorId="0" shapeId="0">
      <text>
        <t>Hämtas från personens pensionssats i Inmatning. Skriv över manuellt vid månadsavvikelse.</t>
      </text>
    </comment>
    <comment ref="E34" authorId="0" shapeId="0">
      <text>
        <t>Hämtas från personens pensionssats i Inmatning. Skriv över manuellt vid månadsavvikelse.</t>
      </text>
    </comment>
    <comment ref="F34" authorId="0" shapeId="0">
      <text>
        <t>Hämtas från personens pensionssats i Inmatning. Skriv över manuellt vid månadsavvikelse.</t>
      </text>
    </comment>
    <comment ref="G34" authorId="0" shapeId="0">
      <text>
        <t>Hämtas från personens pensionssats i Inmatning. Skriv över manuellt vid månadsavvikelse.</t>
      </text>
    </comment>
    <comment ref="H34" authorId="0" shapeId="0">
      <text>
        <t>Hämtas från personens pensionssats i Inmatning. Skriv över manuellt vid månadsavvikelse.</t>
      </text>
    </comment>
    <comment ref="I34" authorId="0" shapeId="0">
      <text>
        <t>Hämtas från personens pensionssats i Inmatning. Skriv över manuellt vid månadsavvikelse.</t>
      </text>
    </comment>
    <comment ref="B39" authorId="0" shapeId="0">
      <text>
        <t>Hämtas från Inmatning. Skriv över cellen manuellt om denna månad ska avvika.</t>
      </text>
    </comment>
    <comment ref="C39" authorId="0" shapeId="0">
      <text>
        <t>Hämtas från Inmatning. Skriv över cellen manuellt om denna månad ska avvika.</t>
      </text>
    </comment>
    <comment ref="D39" authorId="0" shapeId="0">
      <text>
        <t>Hämtas från Inmatning. Skriv över cellen manuellt om denna månad ska avvika.</t>
      </text>
    </comment>
    <comment ref="E39" authorId="0" shapeId="0">
      <text>
        <t>Hämtas från Inmatning. Skriv över cellen manuellt om denna månad ska avvika.</t>
      </text>
    </comment>
    <comment ref="F39" authorId="0" shapeId="0">
      <text>
        <t>Hämtas från Inmatning. Skriv över cellen manuellt om denna månad ska avvika.</t>
      </text>
    </comment>
    <comment ref="G39" authorId="0" shapeId="0">
      <text>
        <t>Hämtas från Inmatning. Skriv över cellen manuellt om denna månad ska avvika.</t>
      </text>
    </comment>
    <comment ref="H39" authorId="0" shapeId="0">
      <text>
        <t>Hämtas från Inmatning. Skriv över cellen manuellt om denna månad ska avvika.</t>
      </text>
    </comment>
    <comment ref="I39" authorId="0" shapeId="0">
      <text>
        <t>Hämtas från Inmatning. Skriv över cellen manuellt om denna månad ska avvika.</t>
      </text>
    </comment>
    <comment ref="B41" authorId="0" shapeId="0">
      <text>
        <t>Hämtas från personens pensionssats i Inmatning. Skriv över manuellt vid månadsavvikelse.</t>
      </text>
    </comment>
    <comment ref="C41" authorId="0" shapeId="0">
      <text>
        <t>Hämtas från personens pensionssats i Inmatning. Skriv över manuellt vid månadsavvikelse.</t>
      </text>
    </comment>
    <comment ref="D41" authorId="0" shapeId="0">
      <text>
        <t>Hämtas från personens pensionssats i Inmatning. Skriv över manuellt vid månadsavvikelse.</t>
      </text>
    </comment>
    <comment ref="E41" authorId="0" shapeId="0">
      <text>
        <t>Hämtas från personens pensionssats i Inmatning. Skriv över manuellt vid månadsavvikelse.</t>
      </text>
    </comment>
    <comment ref="F41" authorId="0" shapeId="0">
      <text>
        <t>Hämtas från personens pensionssats i Inmatning. Skriv över manuellt vid månadsavvikelse.</t>
      </text>
    </comment>
    <comment ref="G41" authorId="0" shapeId="0">
      <text>
        <t>Hämtas från personens pensionssats i Inmatning. Skriv över manuellt vid månadsavvikelse.</t>
      </text>
    </comment>
    <comment ref="H41" authorId="0" shapeId="0">
      <text>
        <t>Hämtas från personens pensionssats i Inmatning. Skriv över manuellt vid månadsavvikelse.</t>
      </text>
    </comment>
    <comment ref="I41" authorId="0" shapeId="0">
      <text>
        <t>Hämtas från personens pensionssats i Inmatning. Skriv över manuellt vid månadsavvikelse.</t>
      </text>
    </comment>
    <comment ref="B46" authorId="0" shapeId="0">
      <text>
        <t>Hämtas från Inmatning. Skriv över cellen manuellt om denna månad ska avvika.</t>
      </text>
    </comment>
    <comment ref="C46" authorId="0" shapeId="0">
      <text>
        <t>Hämtas från Inmatning. Skriv över cellen manuellt om denna månad ska avvika.</t>
      </text>
    </comment>
    <comment ref="D46" authorId="0" shapeId="0">
      <text>
        <t>Hämtas från Inmatning. Skriv över cellen manuellt om denna månad ska avvika.</t>
      </text>
    </comment>
    <comment ref="E46" authorId="0" shapeId="0">
      <text>
        <t>Hämtas från Inmatning. Skriv över cellen manuellt om denna månad ska avvika.</t>
      </text>
    </comment>
    <comment ref="F46" authorId="0" shapeId="0">
      <text>
        <t>Hämtas från Inmatning. Skriv över cellen manuellt om denna månad ska avvika.</t>
      </text>
    </comment>
    <comment ref="G46" authorId="0" shapeId="0">
      <text>
        <t>Hämtas från Inmatning. Skriv över cellen manuellt om denna månad ska avvika.</t>
      </text>
    </comment>
    <comment ref="H46" authorId="0" shapeId="0">
      <text>
        <t>Hämtas från Inmatning. Skriv över cellen manuellt om denna månad ska avvika.</t>
      </text>
    </comment>
    <comment ref="I46" authorId="0" shapeId="0">
      <text>
        <t>Hämtas från Inmatning. Skriv över cellen manuellt om denna månad ska avvika.</t>
      </text>
    </comment>
    <comment ref="B48" authorId="0" shapeId="0">
      <text>
        <t>Hämtas från personens pensionssats i Inmatning. Skriv över manuellt vid månadsavvikelse.</t>
      </text>
    </comment>
    <comment ref="C48" authorId="0" shapeId="0">
      <text>
        <t>Hämtas från personens pensionssats i Inmatning. Skriv över manuellt vid månadsavvikelse.</t>
      </text>
    </comment>
    <comment ref="D48" authorId="0" shapeId="0">
      <text>
        <t>Hämtas från personens pensionssats i Inmatning. Skriv över manuellt vid månadsavvikelse.</t>
      </text>
    </comment>
    <comment ref="E48" authorId="0" shapeId="0">
      <text>
        <t>Hämtas från personens pensionssats i Inmatning. Skriv över manuellt vid månadsavvikelse.</t>
      </text>
    </comment>
    <comment ref="F48" authorId="0" shapeId="0">
      <text>
        <t>Hämtas från personens pensionssats i Inmatning. Skriv över manuellt vid månadsavvikelse.</t>
      </text>
    </comment>
    <comment ref="G48" authorId="0" shapeId="0">
      <text>
        <t>Hämtas från personens pensionssats i Inmatning. Skriv över manuellt vid månadsavvikelse.</t>
      </text>
    </comment>
    <comment ref="H48" authorId="0" shapeId="0">
      <text>
        <t>Hämtas från personens pensionssats i Inmatning. Skriv över manuellt vid månadsavvikelse.</t>
      </text>
    </comment>
    <comment ref="I48" authorId="0" shapeId="0">
      <text>
        <t>Hämtas från personens pensionssats i Inmatning. Skriv över manuellt vid månadsavvikelse.</t>
      </text>
    </comment>
    <comment ref="B53" authorId="0" shapeId="0">
      <text>
        <t>Hämtas från Inmatning. Skriv över cellen manuellt om denna månad ska avvika.</t>
      </text>
    </comment>
    <comment ref="C53" authorId="0" shapeId="0">
      <text>
        <t>Hämtas från Inmatning. Skriv över cellen manuellt om denna månad ska avvika.</t>
      </text>
    </comment>
    <comment ref="D53" authorId="0" shapeId="0">
      <text>
        <t>Hämtas från Inmatning. Skriv över cellen manuellt om denna månad ska avvika.</t>
      </text>
    </comment>
    <comment ref="E53" authorId="0" shapeId="0">
      <text>
        <t>Hämtas från Inmatning. Skriv över cellen manuellt om denna månad ska avvika.</t>
      </text>
    </comment>
    <comment ref="F53" authorId="0" shapeId="0">
      <text>
        <t>Hämtas från Inmatning. Skriv över cellen manuellt om denna månad ska avvika.</t>
      </text>
    </comment>
    <comment ref="G53" authorId="0" shapeId="0">
      <text>
        <t>Hämtas från Inmatning. Skriv över cellen manuellt om denna månad ska avvika.</t>
      </text>
    </comment>
    <comment ref="H53" authorId="0" shapeId="0">
      <text>
        <t>Hämtas från Inmatning. Skriv över cellen manuellt om denna månad ska avvika.</t>
      </text>
    </comment>
    <comment ref="I53" authorId="0" shapeId="0">
      <text>
        <t>Hämtas från Inmatning. Skriv över cellen manuellt om denna månad ska avvika.</t>
      </text>
    </comment>
    <comment ref="B55" authorId="0" shapeId="0">
      <text>
        <t>Hämtas från personens pensionssats i Inmatning. Skriv över manuellt vid månadsavvikelse.</t>
      </text>
    </comment>
    <comment ref="C55" authorId="0" shapeId="0">
      <text>
        <t>Hämtas från personens pensionssats i Inmatning. Skriv över manuellt vid månadsavvikelse.</t>
      </text>
    </comment>
    <comment ref="D55" authorId="0" shapeId="0">
      <text>
        <t>Hämtas från personens pensionssats i Inmatning. Skriv över manuellt vid månadsavvikelse.</t>
      </text>
    </comment>
    <comment ref="E55" authorId="0" shapeId="0">
      <text>
        <t>Hämtas från personens pensionssats i Inmatning. Skriv över manuellt vid månadsavvikelse.</t>
      </text>
    </comment>
    <comment ref="F55" authorId="0" shapeId="0">
      <text>
        <t>Hämtas från personens pensionssats i Inmatning. Skriv över manuellt vid månadsavvikelse.</t>
      </text>
    </comment>
    <comment ref="G55" authorId="0" shapeId="0">
      <text>
        <t>Hämtas från personens pensionssats i Inmatning. Skriv över manuellt vid månadsavvikelse.</t>
      </text>
    </comment>
    <comment ref="H55" authorId="0" shapeId="0">
      <text>
        <t>Hämtas från personens pensionssats i Inmatning. Skriv över manuellt vid månadsavvikelse.</t>
      </text>
    </comment>
    <comment ref="I55" authorId="0" shapeId="0">
      <text>
        <t>Hämtas från personens pensionssats i Inmatning. Skriv över manuellt vid månadsavvikelse.</t>
      </text>
    </comment>
    <comment ref="B60" authorId="0" shapeId="0">
      <text>
        <t>Hämtas från Inmatning. Skriv över cellen manuellt om denna månad ska avvika.</t>
      </text>
    </comment>
    <comment ref="C60" authorId="0" shapeId="0">
      <text>
        <t>Hämtas från Inmatning. Skriv över cellen manuellt om denna månad ska avvika.</t>
      </text>
    </comment>
    <comment ref="D60" authorId="0" shapeId="0">
      <text>
        <t>Hämtas från Inmatning. Skriv över cellen manuellt om denna månad ska avvika.</t>
      </text>
    </comment>
    <comment ref="E60" authorId="0" shapeId="0">
      <text>
        <t>Hämtas från Inmatning. Skriv över cellen manuellt om denna månad ska avvika.</t>
      </text>
    </comment>
    <comment ref="F60" authorId="0" shapeId="0">
      <text>
        <t>Hämtas från Inmatning. Skriv över cellen manuellt om denna månad ska avvika.</t>
      </text>
    </comment>
    <comment ref="G60" authorId="0" shapeId="0">
      <text>
        <t>Hämtas från Inmatning. Skriv över cellen manuellt om denna månad ska avvika.</t>
      </text>
    </comment>
    <comment ref="H60" authorId="0" shapeId="0">
      <text>
        <t>Hämtas från Inmatning. Skriv över cellen manuellt om denna månad ska avvika.</t>
      </text>
    </comment>
    <comment ref="I60" authorId="0" shapeId="0">
      <text>
        <t>Hämtas från Inmatning. Skriv över cellen manuellt om denna månad ska avvika.</t>
      </text>
    </comment>
    <comment ref="B62" authorId="0" shapeId="0">
      <text>
        <t>Hämtas från personens pensionssats i Inmatning. Skriv över manuellt vid månadsavvikelse.</t>
      </text>
    </comment>
    <comment ref="C62" authorId="0" shapeId="0">
      <text>
        <t>Hämtas från personens pensionssats i Inmatning. Skriv över manuellt vid månadsavvikelse.</t>
      </text>
    </comment>
    <comment ref="D62" authorId="0" shapeId="0">
      <text>
        <t>Hämtas från personens pensionssats i Inmatning. Skriv över manuellt vid månadsavvikelse.</t>
      </text>
    </comment>
    <comment ref="E62" authorId="0" shapeId="0">
      <text>
        <t>Hämtas från personens pensionssats i Inmatning. Skriv över manuellt vid månadsavvikelse.</t>
      </text>
    </comment>
    <comment ref="F62" authorId="0" shapeId="0">
      <text>
        <t>Hämtas från personens pensionssats i Inmatning. Skriv över manuellt vid månadsavvikelse.</t>
      </text>
    </comment>
    <comment ref="G62" authorId="0" shapeId="0">
      <text>
        <t>Hämtas från personens pensionssats i Inmatning. Skriv över manuellt vid månadsavvikelse.</t>
      </text>
    </comment>
    <comment ref="H62" authorId="0" shapeId="0">
      <text>
        <t>Hämtas från personens pensionssats i Inmatning. Skriv över manuellt vid månadsavvikelse.</t>
      </text>
    </comment>
    <comment ref="I62" authorId="0" shapeId="0">
      <text>
        <t>Hämtas från personens pensionssats i Inmatning. Skriv över manuellt vid månadsavvikelse.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B4" authorId="0" shapeId="0">
      <text>
        <t>Ändra detta antagande vid behov.</t>
      </text>
    </comment>
    <comment ref="B5" authorId="0" shapeId="0">
      <text>
        <t>Ändra detta antagande vid behov.</t>
      </text>
    </comment>
    <comment ref="B6" authorId="0" shapeId="0">
      <text>
        <t>Ändra detta antagande vid behov.</t>
      </text>
    </comment>
    <comment ref="B7" authorId="0" shapeId="0">
      <text>
        <t>Ändra detta antagande vid behov.</t>
      </text>
    </comment>
    <comment ref="B8" authorId="0" shapeId="0">
      <text>
        <t>Ändra detta antagande vid behov.</t>
      </text>
    </comment>
    <comment ref="B9" authorId="0" shapeId="0">
      <text>
        <t>Ändra detta antagande vid behov.</t>
      </text>
    </comment>
    <comment ref="B10" authorId="0" shapeId="0">
      <text>
        <t>Ändra detta antagande vid behov.</t>
      </text>
    </comment>
    <comment ref="B11" authorId="0" shapeId="0">
      <text>
        <t>Ändra detta antagande vid behov.</t>
      </text>
    </comment>
    <comment ref="B12" authorId="0" shapeId="0">
      <text>
        <t>Ändra detta antagande vid behov.</t>
      </text>
    </comment>
    <comment ref="B13" authorId="0" shapeId="0">
      <text>
        <t>Ändra detta antagande vid behov.</t>
      </text>
    </comment>
    <comment ref="B14" authorId="0" shapeId="0">
      <text>
        <t>Ändra detta antagande vid behov.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104</row>
      <rowOff>175326</rowOff>
    </from>
    <to>
      <col>10</col>
      <colOff>373190</colOff>
      <row>121</row>
      <rowOff>117621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NORC budget">
  <a:themeElements>
    <a:clrScheme name="NORC budge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F5D62"/>
      </a:accent1>
      <a:accent2>
        <a:srgbClr val="A97035"/>
      </a:accent2>
      <a:accent3>
        <a:srgbClr val="6B7C7A"/>
      </a:accent3>
      <a:accent4>
        <a:srgbClr val="C8D5D2"/>
      </a:accent4>
      <a:accent5>
        <a:srgbClr val="E7EFEA"/>
      </a:accent5>
      <a:accent6>
        <a:srgbClr val="F2E7D5"/>
      </a:accent6>
      <a:hlink>
        <a:srgbClr val="0000FF"/>
      </a:hlink>
      <a:folHlink>
        <a:srgbClr val="FF00FF"/>
      </a:folHlink>
    </a:clrScheme>
    <a:fontScheme name="NORC budge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NORC budge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111827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111827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32.1719" customWidth="1" style="153" min="1" max="1"/>
    <col width="12.5" customWidth="1" style="153" min="2" max="9"/>
    <col width="13.5" customWidth="1" style="153" min="10" max="10"/>
    <col width="37.1719" customWidth="1" style="153" min="11" max="11"/>
    <col width="13" customWidth="1" style="153" min="12" max="16"/>
    <col width="8.851559999999999" customWidth="1" style="153" min="17" max="16384"/>
  </cols>
  <sheetData>
    <row r="1" ht="26" customHeight="1" s="155">
      <c r="A1" s="157" t="inlineStr">
        <is>
          <t>NORC budget maj–december 2026</t>
        </is>
      </c>
      <c r="B1" s="158" t="n"/>
      <c r="C1" s="158" t="n"/>
      <c r="D1" s="158" t="n"/>
      <c r="E1" s="158" t="n"/>
      <c r="F1" s="158" t="n"/>
      <c r="G1" s="158" t="n"/>
      <c r="H1" s="158" t="n"/>
      <c r="I1" s="158" t="n"/>
      <c r="J1" s="158" t="n"/>
      <c r="K1" s="158" t="n"/>
      <c r="L1" s="11" t="n"/>
      <c r="M1" s="8" t="n"/>
      <c r="N1" s="142" t="n"/>
      <c r="O1" s="142" t="n"/>
      <c r="P1" s="142" t="n"/>
    </row>
    <row r="2" ht="36" customHeight="1" s="155">
      <c r="A2" s="12" t="inlineStr">
        <is>
          <t>Månadsbudget med intäkter, personalkostnader uppdelade på lön, arbetsgivaravgift, tjänstepension och försäkring, samt övriga kostnader. Procentsatser kan justeras per månad.</t>
        </is>
      </c>
      <c r="L2" s="16" t="n"/>
      <c r="M2" s="8" t="n"/>
      <c r="N2" s="142" t="n"/>
      <c r="O2" s="142" t="n"/>
      <c r="P2" s="142" t="n"/>
    </row>
    <row r="3" ht="15" customHeight="1" s="155">
      <c r="A3" s="17" t="n"/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9" t="n"/>
      <c r="L3" s="16" t="n"/>
      <c r="M3" s="8" t="n"/>
      <c r="N3" s="142" t="n"/>
      <c r="O3" s="142" t="n"/>
      <c r="P3" s="142" t="n"/>
    </row>
    <row r="4" ht="22" customHeight="1" s="155">
      <c r="A4" s="20" t="inlineStr">
        <is>
          <t>Post</t>
        </is>
      </c>
      <c r="B4" s="21" t="inlineStr">
        <is>
          <t>Maj</t>
        </is>
      </c>
      <c r="C4" s="21" t="inlineStr">
        <is>
          <t>Juni</t>
        </is>
      </c>
      <c r="D4" s="21" t="inlineStr">
        <is>
          <t>Juli</t>
        </is>
      </c>
      <c r="E4" s="21" t="inlineStr">
        <is>
          <t>Augusti</t>
        </is>
      </c>
      <c r="F4" s="21" t="inlineStr">
        <is>
          <t>September</t>
        </is>
      </c>
      <c r="G4" s="21" t="inlineStr">
        <is>
          <t>Oktober</t>
        </is>
      </c>
      <c r="H4" s="21" t="inlineStr">
        <is>
          <t>November</t>
        </is>
      </c>
      <c r="I4" s="21" t="inlineStr">
        <is>
          <t>December</t>
        </is>
      </c>
      <c r="J4" s="22" t="inlineStr">
        <is>
          <t>Totalt</t>
        </is>
      </c>
      <c r="K4" s="23" t="inlineStr">
        <is>
          <t>Kommentar</t>
        </is>
      </c>
      <c r="L4" s="24" t="n"/>
      <c r="M4" s="8" t="n"/>
      <c r="N4" s="142" t="n"/>
      <c r="O4" s="142" t="n"/>
      <c r="P4" s="142" t="n"/>
    </row>
    <row r="5" ht="22" customHeight="1" s="155">
      <c r="A5" s="25" t="inlineStr">
        <is>
          <t>INTÄKTER</t>
        </is>
      </c>
      <c r="B5" s="26" t="n"/>
      <c r="C5" s="26" t="n"/>
      <c r="D5" s="26" t="n"/>
      <c r="E5" s="26" t="n"/>
      <c r="F5" s="26" t="n"/>
      <c r="G5" s="26" t="n"/>
      <c r="H5" s="26" t="n"/>
      <c r="I5" s="26" t="n"/>
      <c r="J5" s="27" t="n"/>
      <c r="K5" s="28" t="n"/>
      <c r="L5" s="29" t="n"/>
      <c r="M5" s="8" t="n"/>
      <c r="N5" s="142" t="n"/>
      <c r="O5" s="142" t="n"/>
      <c r="P5" s="30" t="n"/>
    </row>
    <row r="6" ht="15" customHeight="1" s="155">
      <c r="A6" s="31" t="inlineStr">
        <is>
          <t>SafeSpring</t>
        </is>
      </c>
      <c r="B6" s="159" t="n">
        <v>226000</v>
      </c>
      <c r="C6" s="159" t="n">
        <v>226000</v>
      </c>
      <c r="D6" s="159" t="n">
        <v>0</v>
      </c>
      <c r="E6" s="159" t="n">
        <v>226000</v>
      </c>
      <c r="F6" s="159" t="n">
        <v>226000</v>
      </c>
      <c r="G6" s="159" t="n">
        <v>226000</v>
      </c>
      <c r="H6" s="159" t="n">
        <v>226000</v>
      </c>
      <c r="I6" s="159" t="n">
        <v>226000</v>
      </c>
      <c r="J6" s="159">
        <f t="array" ref="J6">SUM(B6:I6)</f>
        <v/>
      </c>
      <c r="K6" s="33" t="inlineStr">
        <is>
          <t>Förifylld enligt instruktion: 250 000 kr/mån</t>
        </is>
      </c>
      <c r="L6" s="16" t="n"/>
      <c r="M6" s="8" t="n"/>
      <c r="N6" s="142" t="n"/>
      <c r="O6" s="10" t="n"/>
      <c r="P6" s="159" t="n"/>
    </row>
    <row r="7" ht="15" customHeight="1" s="155">
      <c r="A7" s="31" t="inlineStr">
        <is>
          <t>Accure</t>
        </is>
      </c>
      <c r="B7" s="159" t="n">
        <v>0</v>
      </c>
      <c r="C7" s="159" t="n">
        <v>40000</v>
      </c>
      <c r="D7" s="159" t="n">
        <v>0</v>
      </c>
      <c r="E7" s="159" t="n">
        <v>40000</v>
      </c>
      <c r="F7" s="159" t="n">
        <v>40000</v>
      </c>
      <c r="G7" s="159" t="n">
        <v>40000</v>
      </c>
      <c r="H7" s="159" t="n">
        <v>40000</v>
      </c>
      <c r="I7" s="159" t="n">
        <v>40000</v>
      </c>
      <c r="J7" s="159">
        <f t="array" ref="J7">SUM(B7:I7)</f>
        <v/>
      </c>
      <c r="K7" s="33" t="inlineStr">
        <is>
          <t>Förifylld enligt instruktion: 40 000 kr/mån</t>
        </is>
      </c>
      <c r="L7" s="16" t="n"/>
      <c r="M7" s="8" t="n"/>
      <c r="N7" s="142" t="n"/>
      <c r="O7" s="142" t="n"/>
      <c r="P7" s="34" t="n"/>
    </row>
    <row r="8" ht="15" customHeight="1" s="155">
      <c r="A8" s="31" t="inlineStr">
        <is>
          <t>Team Neusta</t>
        </is>
      </c>
      <c r="B8" s="159" t="n">
        <v>0</v>
      </c>
      <c r="C8" s="159" t="n">
        <v>0</v>
      </c>
      <c r="D8" s="159" t="n">
        <v>0</v>
      </c>
      <c r="E8" s="159" t="n">
        <v>0</v>
      </c>
      <c r="F8" s="159" t="n">
        <v>0</v>
      </c>
      <c r="G8" s="159" t="n">
        <v>0</v>
      </c>
      <c r="H8" s="159" t="n">
        <v>0</v>
      </c>
      <c r="I8" s="159" t="n">
        <v>0</v>
      </c>
      <c r="J8" s="159">
        <f t="array" ref="J8">SUM(B8:I8)</f>
        <v/>
      </c>
      <c r="K8" s="33" t="inlineStr">
        <is>
          <t>Fyll i månadsvärden vid behov</t>
        </is>
      </c>
      <c r="L8" s="16" t="n"/>
      <c r="M8" s="8" t="n"/>
      <c r="N8" s="142" t="n"/>
      <c r="O8" s="142" t="n"/>
      <c r="P8" s="142" t="n"/>
    </row>
    <row r="9" ht="15" customHeight="1" s="155">
      <c r="A9" s="31" t="inlineStr">
        <is>
          <t>Volvo Energy</t>
        </is>
      </c>
      <c r="B9" s="159" t="n">
        <v>0</v>
      </c>
      <c r="C9" s="159" t="n">
        <v>0</v>
      </c>
      <c r="D9" s="159" t="n">
        <v>0</v>
      </c>
      <c r="E9" s="159" t="n">
        <v>0</v>
      </c>
      <c r="F9" s="159" t="n">
        <v>0</v>
      </c>
      <c r="G9" s="159" t="n">
        <v>0</v>
      </c>
      <c r="H9" s="159" t="n">
        <v>0</v>
      </c>
      <c r="I9" s="159" t="n">
        <v>0</v>
      </c>
      <c r="J9" s="159">
        <f t="array" ref="J9">SUM(B9:I9)</f>
        <v/>
      </c>
      <c r="K9" s="33" t="inlineStr">
        <is>
          <t>Fyll i månadsvärden vid behov</t>
        </is>
      </c>
      <c r="L9" s="16" t="n"/>
      <c r="M9" s="8" t="n"/>
      <c r="N9" s="142" t="n"/>
      <c r="O9" s="142" t="n"/>
      <c r="P9" s="142" t="n"/>
    </row>
    <row r="10" ht="15" customHeight="1" s="155">
      <c r="A10" s="31" t="inlineStr">
        <is>
          <t>Buddy Energy</t>
        </is>
      </c>
      <c r="B10" s="159" t="n">
        <v>0</v>
      </c>
      <c r="C10" s="159" t="n">
        <v>0</v>
      </c>
      <c r="D10" s="159" t="n">
        <v>0</v>
      </c>
      <c r="E10" s="159" t="n">
        <v>0</v>
      </c>
      <c r="F10" s="159" t="n">
        <v>0</v>
      </c>
      <c r="G10" s="159" t="n">
        <v>0</v>
      </c>
      <c r="H10" s="159" t="n">
        <v>0</v>
      </c>
      <c r="I10" s="159" t="n">
        <v>0</v>
      </c>
      <c r="J10" s="159">
        <f t="array" ref="J10">SUM(B10:I10)</f>
        <v/>
      </c>
      <c r="K10" s="33" t="inlineStr">
        <is>
          <t>Fyll i månadsvärden vid behov</t>
        </is>
      </c>
      <c r="L10" s="16" t="n"/>
      <c r="M10" s="8" t="n"/>
      <c r="N10" s="142" t="n"/>
      <c r="O10" s="142" t="n"/>
      <c r="P10" s="142" t="n"/>
    </row>
    <row r="11" ht="15" customHeight="1" s="155">
      <c r="A11" s="31" t="inlineStr">
        <is>
          <t>Gausta</t>
        </is>
      </c>
      <c r="B11" s="159" t="n">
        <v>0</v>
      </c>
      <c r="C11" s="159" t="n">
        <v>0</v>
      </c>
      <c r="D11" s="159" t="n">
        <v>0</v>
      </c>
      <c r="E11" s="159" t="n">
        <v>0</v>
      </c>
      <c r="F11" s="159" t="n">
        <v>0</v>
      </c>
      <c r="G11" s="159" t="n">
        <v>0</v>
      </c>
      <c r="H11" s="159" t="n">
        <v>0</v>
      </c>
      <c r="I11" s="159" t="n">
        <v>0</v>
      </c>
      <c r="J11" s="159">
        <f t="array" ref="J11">SUM(B11:I11)</f>
        <v/>
      </c>
      <c r="K11" s="33" t="inlineStr">
        <is>
          <t>Fyll i månadsvärden vid behov</t>
        </is>
      </c>
      <c r="L11" s="16" t="n"/>
      <c r="M11" s="8" t="n"/>
      <c r="N11" s="142" t="n"/>
      <c r="O11" s="142" t="n"/>
      <c r="P11" s="142" t="n"/>
    </row>
    <row r="12" ht="15" customHeight="1" s="155">
      <c r="A12" s="31" t="inlineStr">
        <is>
          <t>Raoul</t>
        </is>
      </c>
      <c r="B12" s="159" t="n">
        <v>0</v>
      </c>
      <c r="C12" s="159" t="n">
        <v>0</v>
      </c>
      <c r="D12" s="159" t="n">
        <v>0</v>
      </c>
      <c r="E12" s="159" t="n">
        <v>0</v>
      </c>
      <c r="F12" s="159" t="n">
        <v>0</v>
      </c>
      <c r="G12" s="159" t="n">
        <v>0</v>
      </c>
      <c r="H12" s="159" t="n">
        <v>0</v>
      </c>
      <c r="I12" s="159" t="n">
        <v>0</v>
      </c>
      <c r="J12" s="159">
        <f t="array" ref="J12">SUM(B12:I12)</f>
        <v/>
      </c>
      <c r="K12" s="33" t="inlineStr">
        <is>
          <t>Fyll i månadsvärden vid behov</t>
        </is>
      </c>
      <c r="L12" s="16" t="n"/>
      <c r="M12" s="8" t="n"/>
      <c r="N12" s="142" t="n"/>
      <c r="O12" s="142" t="n"/>
      <c r="P12" s="142" t="n"/>
    </row>
    <row r="13" ht="15" customHeight="1" s="155">
      <c r="A13" s="31" t="inlineStr">
        <is>
          <t>MedChain</t>
        </is>
      </c>
      <c r="B13" s="159" t="n">
        <v>50000</v>
      </c>
      <c r="C13" s="159" t="n">
        <v>50000</v>
      </c>
      <c r="D13" s="159" t="n">
        <v>50000</v>
      </c>
      <c r="E13" s="159" t="n">
        <v>50000</v>
      </c>
      <c r="F13" s="159" t="n">
        <v>50000</v>
      </c>
      <c r="G13" s="159" t="n">
        <v>50000</v>
      </c>
      <c r="H13" s="159" t="n">
        <v>50000</v>
      </c>
      <c r="I13" s="159" t="n">
        <v>50000</v>
      </c>
      <c r="J13" s="159">
        <f t="array" ref="J13">SUM(B13:I13)</f>
        <v/>
      </c>
      <c r="K13" s="33" t="inlineStr">
        <is>
          <t>Förifylld enligt instruktion: 50 000 kr/mån</t>
        </is>
      </c>
      <c r="L13" s="16" t="n"/>
      <c r="M13" s="8" t="n"/>
      <c r="N13" s="142" t="n"/>
      <c r="O13" s="142" t="n"/>
      <c r="P13" s="142" t="n"/>
    </row>
    <row r="14" ht="15" customHeight="1" s="155">
      <c r="A14" s="31" t="inlineStr">
        <is>
          <t>Internetmedicin</t>
        </is>
      </c>
      <c r="B14" s="159" t="n">
        <v>0</v>
      </c>
      <c r="C14" s="159" t="n">
        <v>0</v>
      </c>
      <c r="D14" s="159" t="n">
        <v>0</v>
      </c>
      <c r="E14" s="159" t="n">
        <v>0</v>
      </c>
      <c r="F14" s="159" t="n">
        <v>0</v>
      </c>
      <c r="G14" s="159" t="n">
        <v>0</v>
      </c>
      <c r="H14" s="159" t="n">
        <v>0</v>
      </c>
      <c r="I14" s="159" t="n">
        <v>0</v>
      </c>
      <c r="J14" s="159">
        <f t="array" ref="J14">SUM(B14:I14)</f>
        <v/>
      </c>
      <c r="K14" s="33" t="inlineStr">
        <is>
          <t>Fyll i månadsvärden vid behov</t>
        </is>
      </c>
      <c r="L14" s="16" t="n"/>
      <c r="M14" s="8" t="n"/>
      <c r="N14" s="142" t="n"/>
      <c r="O14" s="142" t="n"/>
      <c r="P14" s="142" t="n"/>
    </row>
    <row r="15" ht="15" customHeight="1" s="155">
      <c r="A15" s="31" t="inlineStr">
        <is>
          <t>Fragus?</t>
        </is>
      </c>
      <c r="B15" s="159" t="n">
        <v>0</v>
      </c>
      <c r="C15" s="159" t="n">
        <v>0</v>
      </c>
      <c r="D15" s="159" t="n">
        <v>0</v>
      </c>
      <c r="E15" s="159" t="n">
        <v>0</v>
      </c>
      <c r="F15" s="159" t="n">
        <v>0</v>
      </c>
      <c r="G15" s="159" t="n">
        <v>0</v>
      </c>
      <c r="H15" s="159" t="n">
        <v>0</v>
      </c>
      <c r="I15" s="159" t="n">
        <v>0</v>
      </c>
      <c r="J15" s="159">
        <f t="array" ref="J15">SUM(B15:I15)</f>
        <v/>
      </c>
      <c r="K15" s="33" t="inlineStr">
        <is>
          <t>Fyll i månadsvärden vid behov</t>
        </is>
      </c>
      <c r="L15" s="16" t="n"/>
      <c r="M15" s="8" t="n"/>
      <c r="N15" s="142" t="n"/>
      <c r="O15" s="142" t="n"/>
      <c r="P15" s="142" t="n"/>
    </row>
    <row r="16" ht="15" customHeight="1" s="155">
      <c r="A16" s="31" t="inlineStr">
        <is>
          <t>Obenämnd kund 3</t>
        </is>
      </c>
      <c r="B16" s="159" t="n">
        <v>0</v>
      </c>
      <c r="C16" s="159" t="n">
        <v>0</v>
      </c>
      <c r="D16" s="159" t="n">
        <v>0</v>
      </c>
      <c r="E16" s="159" t="n">
        <v>0</v>
      </c>
      <c r="F16" s="159" t="n">
        <v>0</v>
      </c>
      <c r="G16" s="159" t="n">
        <v>0</v>
      </c>
      <c r="H16" s="159" t="n">
        <v>0</v>
      </c>
      <c r="I16" s="159" t="n">
        <v>0</v>
      </c>
      <c r="J16" s="159">
        <f t="array" ref="J16">SUM(B16:I16)</f>
        <v/>
      </c>
      <c r="K16" s="33" t="inlineStr">
        <is>
          <t>Fyll i månadsvärden vid behov</t>
        </is>
      </c>
      <c r="L16" s="16" t="n"/>
      <c r="M16" s="8" t="n"/>
      <c r="N16" s="142" t="n"/>
      <c r="O16" s="142" t="n"/>
      <c r="P16" s="142" t="n"/>
    </row>
    <row r="17" ht="22" customHeight="1" s="155">
      <c r="A17" s="35" t="inlineStr">
        <is>
          <t>Summa intäkter</t>
        </is>
      </c>
      <c r="B17" s="160">
        <f t="array" ref="B17">SUM(B6:B16)</f>
        <v/>
      </c>
      <c r="C17" s="160">
        <f t="array" ref="C17">SUM(C6:C16)</f>
        <v/>
      </c>
      <c r="D17" s="160">
        <f t="array" ref="D17">SUM(D6:D16)</f>
        <v/>
      </c>
      <c r="E17" s="160">
        <f t="array" ref="E17">SUM(E6:E16)</f>
        <v/>
      </c>
      <c r="F17" s="160">
        <f t="array" ref="F17">SUM(F6:F16)</f>
        <v/>
      </c>
      <c r="G17" s="160">
        <f t="array" ref="G17">SUM(G6:G16)</f>
        <v/>
      </c>
      <c r="H17" s="160">
        <f t="array" ref="H17">SUM(H6:H16)</f>
        <v/>
      </c>
      <c r="I17" s="160">
        <f t="array" ref="I17">SUM(I6:I16)</f>
        <v/>
      </c>
      <c r="J17" s="160">
        <f t="array" ref="J17">SUM(B17:I17)</f>
        <v/>
      </c>
      <c r="K17" s="37" t="n"/>
      <c r="L17" s="38" t="n"/>
      <c r="M17" s="8" t="n"/>
      <c r="N17" s="142" t="n"/>
      <c r="O17" s="142" t="n"/>
      <c r="P17" s="142" t="n"/>
    </row>
    <row r="18" ht="15" customHeight="1" s="155">
      <c r="A18" s="39" t="n"/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1" t="n"/>
      <c r="L18" s="16" t="n"/>
      <c r="M18" s="8" t="n"/>
      <c r="N18" s="142" t="n"/>
      <c r="O18" s="142" t="n"/>
      <c r="P18" s="142" t="n"/>
    </row>
    <row r="19" ht="22" customHeight="1" s="155">
      <c r="A19" s="25" t="inlineStr">
        <is>
          <t>PERSONALKOSTNADER</t>
        </is>
      </c>
      <c r="B19" s="26" t="n"/>
      <c r="C19" s="26" t="n"/>
      <c r="D19" s="26" t="n"/>
      <c r="E19" s="26" t="n"/>
      <c r="F19" s="26" t="n"/>
      <c r="G19" s="26" t="n"/>
      <c r="H19" s="26" t="n"/>
      <c r="I19" s="26" t="n"/>
      <c r="J19" s="27" t="n"/>
      <c r="K19" s="28" t="n"/>
      <c r="L19" s="29" t="n"/>
      <c r="M19" s="8" t="n"/>
      <c r="N19" s="142" t="n"/>
      <c r="O19" s="142" t="n"/>
      <c r="P19" s="142" t="n"/>
    </row>
    <row r="20" ht="26.85" customHeight="1" s="155">
      <c r="A20" s="42" t="inlineStr">
        <is>
          <t>Arbetsgivaravgift %</t>
        </is>
      </c>
      <c r="B20" s="43">
        <f t="array" ref="B20">'Inmatning'!$B$4</f>
        <v/>
      </c>
      <c r="C20" s="43">
        <f t="array" ref="C20">'Inmatning'!$B$4</f>
        <v/>
      </c>
      <c r="D20" s="43">
        <f t="array" ref="D20">'Inmatning'!$B$4</f>
        <v/>
      </c>
      <c r="E20" s="43">
        <f t="array" ref="E20">'Inmatning'!$B$4</f>
        <v/>
      </c>
      <c r="F20" s="43">
        <f t="array" ref="F20">'Inmatning'!$B$4</f>
        <v/>
      </c>
      <c r="G20" s="43">
        <f t="array" ref="G20">'Inmatning'!$B$4</f>
        <v/>
      </c>
      <c r="H20" s="43">
        <f t="array" ref="H20">'Inmatning'!$B$4</f>
        <v/>
      </c>
      <c r="I20" s="43">
        <f t="array" ref="I20">'Inmatning'!$B$4</f>
        <v/>
      </c>
      <c r="J20" s="43">
        <f t="array" ref="J20">AVERAGE(B20:I20)</f>
        <v/>
      </c>
      <c r="K20" s="44" t="inlineStr">
        <is>
          <t>Central procentsats per månad för arbetsgivaravgift</t>
        </is>
      </c>
      <c r="L20" s="45" t="n"/>
      <c r="M20" s="8" t="n"/>
      <c r="N20" s="142" t="n"/>
      <c r="O20" s="142" t="n"/>
      <c r="P20" s="142" t="n"/>
    </row>
    <row r="21" ht="26.85" customHeight="1" s="155">
      <c r="A21" s="46" t="inlineStr">
        <is>
          <t>Tjänstepension %</t>
        </is>
      </c>
      <c r="B21" s="47">
        <f>AVERAGE('Inmatning'!$C$42:$C$47)</f>
        <v/>
      </c>
      <c r="C21" s="47">
        <f>AVERAGE('Inmatning'!$C$42:$C$47)</f>
        <v/>
      </c>
      <c r="D21" s="47">
        <f>AVERAGE('Inmatning'!$C$42:$C$47)</f>
        <v/>
      </c>
      <c r="E21" s="47">
        <f>AVERAGE('Inmatning'!$C$42:$C$47)</f>
        <v/>
      </c>
      <c r="F21" s="47">
        <f>AVERAGE('Inmatning'!$C$42:$C$47)</f>
        <v/>
      </c>
      <c r="G21" s="47">
        <f>AVERAGE('Inmatning'!$C$42:$C$47)</f>
        <v/>
      </c>
      <c r="H21" s="47">
        <f>AVERAGE('Inmatning'!$C$42:$C$47)</f>
        <v/>
      </c>
      <c r="I21" s="47">
        <f>AVERAGE('Inmatning'!$C$42:$C$47)</f>
        <v/>
      </c>
      <c r="J21" s="47">
        <f>AVERAGE(B21:I21)</f>
        <v/>
      </c>
      <c r="K21" s="48" t="inlineStr">
        <is>
          <t>Genomsnitt av individuella pensionssatser i Inmatning</t>
        </is>
      </c>
      <c r="L21" s="45" t="n"/>
      <c r="M21" s="8" t="n"/>
      <c r="N21" s="142" t="n"/>
      <c r="O21" s="142" t="n"/>
      <c r="P21" s="142" t="n"/>
    </row>
    <row r="22" ht="26.85" customHeight="1" s="155">
      <c r="A22" s="46" t="inlineStr">
        <is>
          <t>Personalförsäkring %</t>
        </is>
      </c>
      <c r="B22" s="47">
        <f t="array" ref="B22">'Inmatning'!$B$6</f>
        <v/>
      </c>
      <c r="C22" s="47">
        <f t="array" ref="C22">'Inmatning'!$B$6</f>
        <v/>
      </c>
      <c r="D22" s="47">
        <f t="array" ref="D22">'Inmatning'!$B$6</f>
        <v/>
      </c>
      <c r="E22" s="47">
        <f t="array" ref="E22">'Inmatning'!$B$6</f>
        <v/>
      </c>
      <c r="F22" s="47">
        <f t="array" ref="F22">'Inmatning'!$B$6</f>
        <v/>
      </c>
      <c r="G22" s="47">
        <f t="array" ref="G22">'Inmatning'!$B$6</f>
        <v/>
      </c>
      <c r="H22" s="47">
        <f t="array" ref="H22">'Inmatning'!$B$6</f>
        <v/>
      </c>
      <c r="I22" s="47">
        <f t="array" ref="I22">'Inmatning'!$B$6</f>
        <v/>
      </c>
      <c r="J22" s="47">
        <f t="array" ref="J22">AVERAGE(B22:I22)</f>
        <v/>
      </c>
      <c r="K22" s="48" t="inlineStr">
        <is>
          <t>Central procentsats per månad för personalförsäkring</t>
        </is>
      </c>
      <c r="L22" s="45" t="n"/>
      <c r="M22" s="8" t="n"/>
      <c r="N22" s="142" t="n"/>
      <c r="O22" s="142" t="n"/>
      <c r="P22" s="142" t="n"/>
    </row>
    <row r="23" ht="15" customHeight="1" s="155">
      <c r="A23" s="49" t="n"/>
      <c r="B23" s="50" t="n"/>
      <c r="C23" s="50" t="n"/>
      <c r="D23" s="50" t="n"/>
      <c r="E23" s="50" t="n"/>
      <c r="F23" s="50" t="n"/>
      <c r="G23" s="50" t="n"/>
      <c r="H23" s="50" t="n"/>
      <c r="I23" s="50" t="n"/>
      <c r="J23" s="50" t="n"/>
      <c r="K23" s="51" t="n"/>
      <c r="L23" s="16" t="n"/>
      <c r="M23" s="8" t="n"/>
      <c r="N23" s="142" t="n"/>
      <c r="O23" s="142" t="n"/>
      <c r="P23" s="142" t="n"/>
    </row>
    <row r="24" ht="15" customHeight="1" s="155">
      <c r="A24" s="42" t="inlineStr">
        <is>
          <t>Johan Sandersnäs – arbetsgrad %</t>
        </is>
      </c>
      <c r="B24" s="43" t="n">
        <v>0.2</v>
      </c>
      <c r="C24" s="43" t="n">
        <v>0.2</v>
      </c>
      <c r="D24" s="43" t="n">
        <v>0.5</v>
      </c>
      <c r="E24" s="43" t="n">
        <v>0.5</v>
      </c>
      <c r="F24" s="43" t="n">
        <v>0.8</v>
      </c>
      <c r="G24" s="43" t="n">
        <v>0.8</v>
      </c>
      <c r="H24" s="43" t="n">
        <v>0.8</v>
      </c>
      <c r="I24" s="43" t="n">
        <v>0.8</v>
      </c>
      <c r="J24" s="43">
        <f t="array" ref="J24">AVERAGE(B24:I24)</f>
        <v/>
      </c>
      <c r="K24" s="44" t="inlineStr">
        <is>
          <t>Arbetsgrad kan ändras per månad</t>
        </is>
      </c>
      <c r="L24" s="45" t="n"/>
      <c r="M24" s="8" t="n"/>
      <c r="N24" s="142" t="n"/>
      <c r="O24" s="142" t="n"/>
      <c r="P24" s="142" t="n"/>
    </row>
    <row r="25" ht="15" customHeight="1" s="155">
      <c r="A25" s="31" t="inlineStr">
        <is>
          <t>Johan Sandersnäs – bruttolön</t>
        </is>
      </c>
      <c r="B25" s="159">
        <f>'Inmatning'!$B$42*B24</f>
        <v/>
      </c>
      <c r="C25" s="159">
        <f>'Inmatning'!$B$42*C24</f>
        <v/>
      </c>
      <c r="D25" s="159">
        <f>'Inmatning'!$B$42*D24</f>
        <v/>
      </c>
      <c r="E25" s="159">
        <f>'Inmatning'!$B$42*E24</f>
        <v/>
      </c>
      <c r="F25" s="159">
        <f>'Inmatning'!$B$42*F24</f>
        <v/>
      </c>
      <c r="G25" s="159">
        <f>'Inmatning'!$B$42*G24</f>
        <v/>
      </c>
      <c r="H25" s="159">
        <f>'Inmatning'!$B$42*H24</f>
        <v/>
      </c>
      <c r="I25" s="159">
        <f>'Inmatning'!$B$42*I24</f>
        <v/>
      </c>
      <c r="J25" s="159">
        <f>SUM(B25:I25)</f>
        <v/>
      </c>
      <c r="K25" s="52" t="inlineStr">
        <is>
          <t>Bruttolön hämtas från Inmatning × arbetsgrad; kan skrivas över</t>
        </is>
      </c>
      <c r="L25" s="53" t="n"/>
      <c r="M25" s="8" t="n"/>
      <c r="N25" s="142" t="n"/>
      <c r="O25" s="142" t="n"/>
      <c r="P25" s="142" t="n"/>
    </row>
    <row r="26" ht="15" customHeight="1" s="155">
      <c r="A26" s="31" t="inlineStr">
        <is>
          <t>Johan Sandersnäs – arbetsgivaravgift</t>
        </is>
      </c>
      <c r="B26" s="159">
        <f t="array" ref="B26">B25*B$20</f>
        <v/>
      </c>
      <c r="C26" s="159">
        <f t="array" ref="C26">C25*C$20</f>
        <v/>
      </c>
      <c r="D26" s="159">
        <f t="array" ref="D26">D25*D$20</f>
        <v/>
      </c>
      <c r="E26" s="159">
        <f t="array" ref="E26">E25*E$20</f>
        <v/>
      </c>
      <c r="F26" s="159">
        <f t="array" ref="F26">F25*F$20</f>
        <v/>
      </c>
      <c r="G26" s="159">
        <f t="array" ref="G26">G25*G$20</f>
        <v/>
      </c>
      <c r="H26" s="159">
        <f t="array" ref="H26">H25*H$20</f>
        <v/>
      </c>
      <c r="I26" s="159">
        <f t="array" ref="I26">I25*I$20</f>
        <v/>
      </c>
      <c r="J26" s="159">
        <f t="array" ref="J26">SUM(B26:I26)</f>
        <v/>
      </c>
      <c r="K26" s="52" t="inlineStr">
        <is>
          <t>Bruttolön × arbetsgivaravgift %</t>
        </is>
      </c>
      <c r="L26" s="53" t="n"/>
      <c r="M26" s="8" t="n"/>
      <c r="N26" s="142" t="n"/>
      <c r="O26" s="142" t="n"/>
      <c r="P26" s="142" t="n"/>
    </row>
    <row r="27" ht="15" customHeight="1" s="155">
      <c r="A27" s="31" t="inlineStr">
        <is>
          <t>Johan Sandersnäs – tjänstepension</t>
        </is>
      </c>
      <c r="B27" s="159">
        <f>B25*'Inmatning'!$C$42</f>
        <v/>
      </c>
      <c r="C27" s="159">
        <f>C25*'Inmatning'!$C$42</f>
        <v/>
      </c>
      <c r="D27" s="159">
        <f>D25*'Inmatning'!$C$42</f>
        <v/>
      </c>
      <c r="E27" s="159">
        <f>E25*'Inmatning'!$C$42</f>
        <v/>
      </c>
      <c r="F27" s="159">
        <f>F25*'Inmatning'!$C$42</f>
        <v/>
      </c>
      <c r="G27" s="159">
        <f>G25*'Inmatning'!$C$42</f>
        <v/>
      </c>
      <c r="H27" s="159">
        <f>H25*'Inmatning'!$C$42</f>
        <v/>
      </c>
      <c r="I27" s="159">
        <f>I25*'Inmatning'!$C$42</f>
        <v/>
      </c>
      <c r="J27" s="159">
        <f>SUM(B27:I27)</f>
        <v/>
      </c>
      <c r="K27" s="52" t="inlineStr">
        <is>
          <t>Tjänstepension hämtas från individuell pensionssats; kan skrivas över</t>
        </is>
      </c>
      <c r="L27" s="53" t="n"/>
      <c r="M27" s="8" t="n"/>
      <c r="N27" s="142" t="n"/>
      <c r="O27" s="142" t="n"/>
      <c r="P27" s="142" t="n"/>
    </row>
    <row r="28" ht="15" customHeight="1" s="155">
      <c r="A28" s="31" t="inlineStr">
        <is>
          <t>Johan Sandersnäs – personalförsäkring</t>
        </is>
      </c>
      <c r="B28" s="159">
        <f t="array" ref="B28">B25*B$22</f>
        <v/>
      </c>
      <c r="C28" s="159">
        <f t="array" ref="C28">C25*C$22</f>
        <v/>
      </c>
      <c r="D28" s="159">
        <f t="array" ref="D28">D25*D$22</f>
        <v/>
      </c>
      <c r="E28" s="159">
        <f t="array" ref="E28">E25*E$22</f>
        <v/>
      </c>
      <c r="F28" s="159">
        <f t="array" ref="F28">F25*F$22</f>
        <v/>
      </c>
      <c r="G28" s="159">
        <f t="array" ref="G28">G25*G$22</f>
        <v/>
      </c>
      <c r="H28" s="159">
        <f t="array" ref="H28">H25*H$22</f>
        <v/>
      </c>
      <c r="I28" s="159">
        <f t="array" ref="I28">I25*I$22</f>
        <v/>
      </c>
      <c r="J28" s="159">
        <f t="array" ref="J28">SUM(B28:I28)</f>
        <v/>
      </c>
      <c r="K28" s="52" t="inlineStr">
        <is>
          <t>Bruttolön × personalförsäkring %</t>
        </is>
      </c>
      <c r="L28" s="53" t="n"/>
      <c r="M28" s="8" t="n"/>
      <c r="N28" s="142" t="n"/>
      <c r="O28" s="142" t="n"/>
      <c r="P28" s="142" t="n"/>
    </row>
    <row r="29" ht="26.85" customHeight="1" s="155">
      <c r="A29" s="54" t="inlineStr">
        <is>
          <t>Johan Sandersnäs – total personalkostnad</t>
        </is>
      </c>
      <c r="B29" s="161">
        <f t="array" ref="B29">SUM(B25:B28)</f>
        <v/>
      </c>
      <c r="C29" s="161">
        <f t="array" ref="C29">SUM(C25:C28)</f>
        <v/>
      </c>
      <c r="D29" s="161">
        <f t="array" ref="D29">SUM(D25:D28)</f>
        <v/>
      </c>
      <c r="E29" s="161">
        <f t="array" ref="E29">SUM(E25:E28)</f>
        <v/>
      </c>
      <c r="F29" s="161">
        <f t="array" ref="F29">SUM(F25:F28)</f>
        <v/>
      </c>
      <c r="G29" s="161">
        <f t="array" ref="G29">SUM(G25:G28)</f>
        <v/>
      </c>
      <c r="H29" s="161">
        <f t="array" ref="H29">SUM(H25:H28)</f>
        <v/>
      </c>
      <c r="I29" s="161">
        <f t="array" ref="I29">SUM(I25:I28)</f>
        <v/>
      </c>
      <c r="J29" s="161">
        <f t="array" ref="J29">SUM(B29:I29)</f>
        <v/>
      </c>
      <c r="K29" s="56" t="inlineStr">
        <is>
          <t>Summa lön + arbetsgivaravgift + pension + försäkring</t>
        </is>
      </c>
      <c r="L29" s="57" t="n"/>
      <c r="M29" s="8" t="n"/>
      <c r="N29" s="142" t="n"/>
      <c r="O29" s="142" t="n"/>
      <c r="P29" s="142" t="n"/>
    </row>
    <row r="30" ht="15" customHeight="1" s="155">
      <c r="A30" s="39" t="n"/>
      <c r="B30" s="40" t="n"/>
      <c r="C30" s="40" t="n"/>
      <c r="D30" s="40" t="n"/>
      <c r="E30" s="40" t="n"/>
      <c r="F30" s="40" t="n"/>
      <c r="G30" s="40" t="n"/>
      <c r="H30" s="40" t="n"/>
      <c r="I30" s="40" t="n"/>
      <c r="J30" s="40" t="n"/>
      <c r="K30" s="41" t="n"/>
      <c r="L30" s="16" t="n"/>
      <c r="M30" s="8" t="n"/>
      <c r="N30" s="142" t="n"/>
      <c r="O30" s="142" t="n"/>
      <c r="P30" s="142" t="n"/>
    </row>
    <row r="31" ht="15" customHeight="1" s="155">
      <c r="A31" s="42" t="inlineStr">
        <is>
          <t>Anders Rasmusson – arbetsgrad %</t>
        </is>
      </c>
      <c r="B31" s="43" t="n">
        <v>0.7</v>
      </c>
      <c r="C31" s="43" t="n">
        <v>0.7</v>
      </c>
      <c r="D31" s="43" t="n">
        <v>0.7</v>
      </c>
      <c r="E31" s="43" t="n">
        <v>0.7</v>
      </c>
      <c r="F31" s="43" t="n">
        <v>0.8</v>
      </c>
      <c r="G31" s="43" t="n">
        <v>0.8</v>
      </c>
      <c r="H31" s="43" t="n">
        <v>0.8</v>
      </c>
      <c r="I31" s="43" t="n">
        <v>0.8</v>
      </c>
      <c r="J31" s="43">
        <f t="array" ref="J31">AVERAGE(B31:I31)</f>
        <v/>
      </c>
      <c r="K31" s="44" t="inlineStr">
        <is>
          <t>Arbetsgrad kan ändras per månad</t>
        </is>
      </c>
      <c r="L31" s="45" t="n"/>
      <c r="M31" s="8" t="n"/>
      <c r="N31" s="142" t="n"/>
      <c r="O31" s="142" t="n"/>
      <c r="P31" s="142" t="n"/>
    </row>
    <row r="32" ht="15" customHeight="1" s="155">
      <c r="A32" s="31" t="inlineStr">
        <is>
          <t>Anders Rasmusson – bruttolön</t>
        </is>
      </c>
      <c r="B32" s="159">
        <f>'Inmatning'!$B$43*B31</f>
        <v/>
      </c>
      <c r="C32" s="159">
        <f>'Inmatning'!$B$43*C31</f>
        <v/>
      </c>
      <c r="D32" s="159">
        <f>'Inmatning'!$B$43*D31</f>
        <v/>
      </c>
      <c r="E32" s="159">
        <f>'Inmatning'!$B$43*E31</f>
        <v/>
      </c>
      <c r="F32" s="159">
        <f>'Inmatning'!$B$43*F31</f>
        <v/>
      </c>
      <c r="G32" s="159">
        <f>'Inmatning'!$B$43*G31</f>
        <v/>
      </c>
      <c r="H32" s="159">
        <f>'Inmatning'!$B$43*H31</f>
        <v/>
      </c>
      <c r="I32" s="159">
        <f>'Inmatning'!$B$43*I31</f>
        <v/>
      </c>
      <c r="J32" s="159">
        <f>SUM(B32:I32)</f>
        <v/>
      </c>
      <c r="K32" s="52" t="inlineStr">
        <is>
          <t>Bruttolön hämtas från Inmatning × arbetsgrad; kan skrivas över</t>
        </is>
      </c>
      <c r="L32" s="53" t="n"/>
      <c r="M32" s="8" t="n"/>
      <c r="N32" s="142" t="n"/>
      <c r="O32" s="142" t="n"/>
      <c r="P32" s="142" t="n"/>
    </row>
    <row r="33" ht="15" customHeight="1" s="155">
      <c r="A33" s="31" t="inlineStr">
        <is>
          <t>Anders Rasmusson – arbetsgivaravgift</t>
        </is>
      </c>
      <c r="B33" s="159">
        <f t="array" ref="B33">B32*B$20</f>
        <v/>
      </c>
      <c r="C33" s="159">
        <f t="array" ref="C33">C32*C$20</f>
        <v/>
      </c>
      <c r="D33" s="159">
        <f t="array" ref="D33">D32*D$20</f>
        <v/>
      </c>
      <c r="E33" s="159">
        <f t="array" ref="E33">E32*E$20</f>
        <v/>
      </c>
      <c r="F33" s="159">
        <f t="array" ref="F33">F32*F$20</f>
        <v/>
      </c>
      <c r="G33" s="159">
        <f t="array" ref="G33">G32*G$20</f>
        <v/>
      </c>
      <c r="H33" s="159">
        <f t="array" ref="H33">H32*H$20</f>
        <v/>
      </c>
      <c r="I33" s="159">
        <f t="array" ref="I33">I32*I$20</f>
        <v/>
      </c>
      <c r="J33" s="159">
        <f t="array" ref="J33">SUM(B33:I33)</f>
        <v/>
      </c>
      <c r="K33" s="52" t="inlineStr">
        <is>
          <t>Bruttolön × arbetsgivaravgift %</t>
        </is>
      </c>
      <c r="L33" s="53" t="n"/>
      <c r="M33" s="8" t="n"/>
      <c r="N33" s="142" t="n"/>
      <c r="O33" s="142" t="n"/>
      <c r="P33" s="142" t="n"/>
    </row>
    <row r="34" ht="15" customHeight="1" s="155">
      <c r="A34" s="31" t="inlineStr">
        <is>
          <t>Anders Rasmusson – tjänstepension</t>
        </is>
      </c>
      <c r="B34" s="159">
        <f>B32*'Inmatning'!$C$43</f>
        <v/>
      </c>
      <c r="C34" s="159">
        <f>C32*'Inmatning'!$C$43</f>
        <v/>
      </c>
      <c r="D34" s="159">
        <f>D32*'Inmatning'!$C$43</f>
        <v/>
      </c>
      <c r="E34" s="159">
        <f>E32*'Inmatning'!$C$43</f>
        <v/>
      </c>
      <c r="F34" s="159">
        <f>F32*'Inmatning'!$C$43</f>
        <v/>
      </c>
      <c r="G34" s="159">
        <f>G32*'Inmatning'!$C$43</f>
        <v/>
      </c>
      <c r="H34" s="159">
        <f>H32*'Inmatning'!$C$43</f>
        <v/>
      </c>
      <c r="I34" s="159">
        <f>I32*'Inmatning'!$C$43</f>
        <v/>
      </c>
      <c r="J34" s="159">
        <f>SUM(B34:I34)</f>
        <v/>
      </c>
      <c r="K34" s="52" t="inlineStr">
        <is>
          <t>Tjänstepension hämtas från individuell pensionssats; kan skrivas över</t>
        </is>
      </c>
      <c r="L34" s="53" t="n"/>
      <c r="M34" s="8" t="n"/>
      <c r="N34" s="142" t="n"/>
      <c r="O34" s="142" t="n"/>
      <c r="P34" s="142" t="n"/>
    </row>
    <row r="35" ht="15" customHeight="1" s="155">
      <c r="A35" s="31" t="inlineStr">
        <is>
          <t>Anders Rasmusson – personalförsäkring</t>
        </is>
      </c>
      <c r="B35" s="159">
        <f t="array" ref="B35">B32*B$22</f>
        <v/>
      </c>
      <c r="C35" s="159">
        <f t="array" ref="C35">C32*C$22</f>
        <v/>
      </c>
      <c r="D35" s="159">
        <f t="array" ref="D35">D32*D$22</f>
        <v/>
      </c>
      <c r="E35" s="159">
        <f t="array" ref="E35">E32*E$22</f>
        <v/>
      </c>
      <c r="F35" s="159">
        <f t="array" ref="F35">F32*F$22</f>
        <v/>
      </c>
      <c r="G35" s="159">
        <f t="array" ref="G35">G32*G$22</f>
        <v/>
      </c>
      <c r="H35" s="159">
        <f t="array" ref="H35">H32*H$22</f>
        <v/>
      </c>
      <c r="I35" s="159">
        <f t="array" ref="I35">I32*I$22</f>
        <v/>
      </c>
      <c r="J35" s="159">
        <f t="array" ref="J35">SUM(B35:I35)</f>
        <v/>
      </c>
      <c r="K35" s="52" t="inlineStr">
        <is>
          <t>Bruttolön × personalförsäkring %</t>
        </is>
      </c>
      <c r="L35" s="53" t="n"/>
      <c r="M35" s="8" t="n"/>
      <c r="N35" s="142" t="n"/>
      <c r="O35" s="142" t="n"/>
      <c r="P35" s="142" t="n"/>
    </row>
    <row r="36" ht="26.85" customHeight="1" s="155">
      <c r="A36" s="54" t="inlineStr">
        <is>
          <t>Anders Rasmusson – total personalkostnad</t>
        </is>
      </c>
      <c r="B36" s="161">
        <f t="array" ref="B36">SUM(B32:B35)</f>
        <v/>
      </c>
      <c r="C36" s="161">
        <f t="array" ref="C36">SUM(C32:C35)</f>
        <v/>
      </c>
      <c r="D36" s="161">
        <f t="array" ref="D36">SUM(D32:D35)</f>
        <v/>
      </c>
      <c r="E36" s="161">
        <f t="array" ref="E36">SUM(E32:E35)</f>
        <v/>
      </c>
      <c r="F36" s="161">
        <f t="array" ref="F36">SUM(F32:F35)</f>
        <v/>
      </c>
      <c r="G36" s="161">
        <f t="array" ref="G36">SUM(G32:G35)</f>
        <v/>
      </c>
      <c r="H36" s="161">
        <f t="array" ref="H36">SUM(H32:H35)</f>
        <v/>
      </c>
      <c r="I36" s="161">
        <f t="array" ref="I36">SUM(I32:I35)</f>
        <v/>
      </c>
      <c r="J36" s="161">
        <f t="array" ref="J36">SUM(B36:I36)</f>
        <v/>
      </c>
      <c r="K36" s="56" t="inlineStr">
        <is>
          <t>Summa lön + arbetsgivaravgift + pension + försäkring</t>
        </is>
      </c>
      <c r="L36" s="57" t="n"/>
      <c r="M36" s="8" t="n"/>
      <c r="N36" s="142" t="n"/>
      <c r="O36" s="142" t="n"/>
      <c r="P36" s="142" t="n"/>
    </row>
    <row r="37" ht="15" customHeight="1" s="155">
      <c r="A37" s="39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1" t="n"/>
      <c r="L37" s="16" t="n"/>
      <c r="M37" s="8" t="n"/>
      <c r="N37" s="142" t="n"/>
      <c r="O37" s="142" t="n"/>
      <c r="P37" s="142" t="n"/>
    </row>
    <row r="38" ht="15" customHeight="1" s="155">
      <c r="A38" s="42" t="inlineStr">
        <is>
          <t>David Kremer – arbetsgrad %</t>
        </is>
      </c>
      <c r="B38" s="43" t="n">
        <v>0.2</v>
      </c>
      <c r="C38" s="43" t="n">
        <v>0.2</v>
      </c>
      <c r="D38" s="43" t="n">
        <v>0.5</v>
      </c>
      <c r="E38" s="43" t="n">
        <v>0.5</v>
      </c>
      <c r="F38" s="43" t="n">
        <v>0.8</v>
      </c>
      <c r="G38" s="43" t="n">
        <v>0.8</v>
      </c>
      <c r="H38" s="43" t="n">
        <v>0.8</v>
      </c>
      <c r="I38" s="43" t="n">
        <v>0.8</v>
      </c>
      <c r="J38" s="43">
        <f t="array" ref="J38">AVERAGE(B38:I38)</f>
        <v/>
      </c>
      <c r="K38" s="44" t="inlineStr">
        <is>
          <t>Arbetsgrad kan ändras per månad</t>
        </is>
      </c>
      <c r="L38" s="45" t="n"/>
      <c r="M38" s="8" t="n"/>
      <c r="N38" s="142" t="n"/>
      <c r="O38" s="142" t="n"/>
      <c r="P38" s="142" t="n"/>
    </row>
    <row r="39" ht="15" customHeight="1" s="155">
      <c r="A39" s="31" t="inlineStr">
        <is>
          <t>David Kremer – bruttolön</t>
        </is>
      </c>
      <c r="B39" s="159">
        <f>'Inmatning'!$B$44*B38</f>
        <v/>
      </c>
      <c r="C39" s="159">
        <f>'Inmatning'!$B$44*C38</f>
        <v/>
      </c>
      <c r="D39" s="159">
        <f>'Inmatning'!$B$44*D38</f>
        <v/>
      </c>
      <c r="E39" s="159">
        <f>'Inmatning'!$B$44*E38</f>
        <v/>
      </c>
      <c r="F39" s="159">
        <f>'Inmatning'!$B$44*F38</f>
        <v/>
      </c>
      <c r="G39" s="159">
        <f>'Inmatning'!$B$44*G38</f>
        <v/>
      </c>
      <c r="H39" s="159">
        <f>'Inmatning'!$B$44*H38</f>
        <v/>
      </c>
      <c r="I39" s="159">
        <f>'Inmatning'!$B$44*I38</f>
        <v/>
      </c>
      <c r="J39" s="159">
        <f>SUM(B39:I39)</f>
        <v/>
      </c>
      <c r="K39" s="52" t="inlineStr">
        <is>
          <t>Bruttolön hämtas från Inmatning × arbetsgrad; kan skrivas över</t>
        </is>
      </c>
      <c r="L39" s="53" t="n"/>
      <c r="M39" s="8" t="n"/>
      <c r="N39" s="142" t="n"/>
      <c r="O39" s="142" t="n"/>
      <c r="P39" s="142" t="n"/>
    </row>
    <row r="40" ht="15" customHeight="1" s="155">
      <c r="A40" s="31" t="inlineStr">
        <is>
          <t>David Kremer – arbetsgivaravgift</t>
        </is>
      </c>
      <c r="B40" s="159">
        <f t="array" ref="B40">B39*B$20</f>
        <v/>
      </c>
      <c r="C40" s="159">
        <f t="array" ref="C40">C39*C$20</f>
        <v/>
      </c>
      <c r="D40" s="159">
        <f t="array" ref="D40">D39*D$20</f>
        <v/>
      </c>
      <c r="E40" s="159">
        <f t="array" ref="E40">E39*E$20</f>
        <v/>
      </c>
      <c r="F40" s="159">
        <f t="array" ref="F40">F39*F$20</f>
        <v/>
      </c>
      <c r="G40" s="159">
        <f t="array" ref="G40">G39*G$20</f>
        <v/>
      </c>
      <c r="H40" s="159">
        <f t="array" ref="H40">H39*H$20</f>
        <v/>
      </c>
      <c r="I40" s="159">
        <f t="array" ref="I40">I39*I$20</f>
        <v/>
      </c>
      <c r="J40" s="159">
        <f t="array" ref="J40">SUM(B40:I40)</f>
        <v/>
      </c>
      <c r="K40" s="52" t="inlineStr">
        <is>
          <t>Bruttolön × arbetsgivaravgift %</t>
        </is>
      </c>
      <c r="L40" s="53" t="n"/>
      <c r="M40" s="8" t="n"/>
      <c r="N40" s="142" t="n"/>
      <c r="O40" s="142" t="n"/>
      <c r="P40" s="142" t="n"/>
    </row>
    <row r="41" ht="15" customHeight="1" s="155">
      <c r="A41" s="31" t="inlineStr">
        <is>
          <t>David Kremer – tjänstepension</t>
        </is>
      </c>
      <c r="B41" s="159">
        <f>B39*'Inmatning'!$C$44</f>
        <v/>
      </c>
      <c r="C41" s="159">
        <f>C39*'Inmatning'!$C$44</f>
        <v/>
      </c>
      <c r="D41" s="159">
        <f>D39*'Inmatning'!$C$44</f>
        <v/>
      </c>
      <c r="E41" s="159">
        <f>E39*'Inmatning'!$C$44</f>
        <v/>
      </c>
      <c r="F41" s="159">
        <f>F39*'Inmatning'!$C$44</f>
        <v/>
      </c>
      <c r="G41" s="159">
        <f>G39*'Inmatning'!$C$44</f>
        <v/>
      </c>
      <c r="H41" s="159">
        <f>H39*'Inmatning'!$C$44</f>
        <v/>
      </c>
      <c r="I41" s="159">
        <f>I39*'Inmatning'!$C$44</f>
        <v/>
      </c>
      <c r="J41" s="159">
        <f>SUM(B41:I41)</f>
        <v/>
      </c>
      <c r="K41" s="52" t="inlineStr">
        <is>
          <t>Tjänstepension hämtas från individuell pensionssats; kan skrivas över</t>
        </is>
      </c>
      <c r="L41" s="53" t="n"/>
      <c r="M41" s="8" t="n"/>
      <c r="N41" s="142" t="n"/>
      <c r="O41" s="142" t="n"/>
      <c r="P41" s="142" t="n"/>
    </row>
    <row r="42" ht="15" customHeight="1" s="155">
      <c r="A42" s="31" t="inlineStr">
        <is>
          <t>David Kremer – personalförsäkring</t>
        </is>
      </c>
      <c r="B42" s="159">
        <f t="array" ref="B42">B39*B$22</f>
        <v/>
      </c>
      <c r="C42" s="159">
        <f t="array" ref="C42">C39*C$22</f>
        <v/>
      </c>
      <c r="D42" s="159">
        <f t="array" ref="D42">D39*D$22</f>
        <v/>
      </c>
      <c r="E42" s="159">
        <f t="array" ref="E42">E39*E$22</f>
        <v/>
      </c>
      <c r="F42" s="159">
        <f t="array" ref="F42">F39*F$22</f>
        <v/>
      </c>
      <c r="G42" s="159">
        <f t="array" ref="G42">G39*G$22</f>
        <v/>
      </c>
      <c r="H42" s="159">
        <f t="array" ref="H42">H39*H$22</f>
        <v/>
      </c>
      <c r="I42" s="159">
        <f t="array" ref="I42">I39*I$22</f>
        <v/>
      </c>
      <c r="J42" s="159">
        <f t="array" ref="J42">SUM(B42:I42)</f>
        <v/>
      </c>
      <c r="K42" s="52" t="inlineStr">
        <is>
          <t>Bruttolön × personalförsäkring %</t>
        </is>
      </c>
      <c r="L42" s="53" t="n"/>
      <c r="M42" s="8" t="n"/>
      <c r="N42" s="142" t="n"/>
      <c r="O42" s="142" t="n"/>
      <c r="P42" s="142" t="n"/>
    </row>
    <row r="43" ht="26.85" customHeight="1" s="155">
      <c r="A43" s="54" t="inlineStr">
        <is>
          <t>David Kremer – total personalkostnad</t>
        </is>
      </c>
      <c r="B43" s="161">
        <f t="array" ref="B43">SUM(B39:B42)</f>
        <v/>
      </c>
      <c r="C43" s="161">
        <f t="array" ref="C43">SUM(C39:C42)</f>
        <v/>
      </c>
      <c r="D43" s="161">
        <f t="array" ref="D43">SUM(D39:D42)</f>
        <v/>
      </c>
      <c r="E43" s="161">
        <f t="array" ref="E43">SUM(E39:E42)</f>
        <v/>
      </c>
      <c r="F43" s="161">
        <f t="array" ref="F43">SUM(F39:F42)</f>
        <v/>
      </c>
      <c r="G43" s="161">
        <f t="array" ref="G43">SUM(G39:G42)</f>
        <v/>
      </c>
      <c r="H43" s="161">
        <f t="array" ref="H43">SUM(H39:H42)</f>
        <v/>
      </c>
      <c r="I43" s="161">
        <f t="array" ref="I43">SUM(I39:I42)</f>
        <v/>
      </c>
      <c r="J43" s="161">
        <f t="array" ref="J43">SUM(B43:I43)</f>
        <v/>
      </c>
      <c r="K43" s="56" t="inlineStr">
        <is>
          <t>Summa lön + arbetsgivaravgift + pension + försäkring</t>
        </is>
      </c>
      <c r="L43" s="57" t="n"/>
      <c r="M43" s="8" t="n"/>
      <c r="N43" s="142" t="n"/>
      <c r="O43" s="142" t="n"/>
      <c r="P43" s="142" t="n"/>
    </row>
    <row r="44" ht="15" customHeight="1" s="155">
      <c r="A44" s="39" t="n"/>
      <c r="B44" s="40" t="n"/>
      <c r="C44" s="40" t="n"/>
      <c r="D44" s="40" t="n"/>
      <c r="E44" s="40" t="n"/>
      <c r="F44" s="40" t="n"/>
      <c r="G44" s="40" t="n"/>
      <c r="H44" s="40" t="n"/>
      <c r="I44" s="40" t="n"/>
      <c r="J44" s="40" t="n"/>
      <c r="K44" s="41" t="n"/>
      <c r="L44" s="16" t="n"/>
      <c r="M44" s="8" t="n"/>
      <c r="N44" s="142" t="n"/>
      <c r="O44" s="142" t="n"/>
      <c r="P44" s="142" t="n"/>
    </row>
    <row r="45" ht="15" customHeight="1" s="155">
      <c r="A45" s="42" t="inlineStr">
        <is>
          <t>Magnus Lindau – arbetsgrad %</t>
        </is>
      </c>
      <c r="B45" s="43" t="n">
        <v>0.2</v>
      </c>
      <c r="C45" s="43" t="n">
        <v>0.7</v>
      </c>
      <c r="D45" s="43" t="n">
        <v>0.7</v>
      </c>
      <c r="E45" s="43" t="n">
        <v>0.7</v>
      </c>
      <c r="F45" s="43" t="n">
        <v>0.8</v>
      </c>
      <c r="G45" s="43" t="n">
        <v>0.8</v>
      </c>
      <c r="H45" s="43" t="n">
        <v>0.8</v>
      </c>
      <c r="I45" s="43" t="n">
        <v>0.8</v>
      </c>
      <c r="J45" s="43">
        <f t="array" ref="J45">AVERAGE(B45:I45)</f>
        <v/>
      </c>
      <c r="K45" s="44" t="inlineStr">
        <is>
          <t>Arbetsgrad kan ändras per månad</t>
        </is>
      </c>
      <c r="L45" s="45" t="n"/>
      <c r="M45" s="8" t="n"/>
      <c r="N45" s="142" t="n"/>
      <c r="O45" s="142" t="n"/>
      <c r="P45" s="142" t="n"/>
    </row>
    <row r="46" ht="15" customHeight="1" s="155">
      <c r="A46" s="31" t="inlineStr">
        <is>
          <t>Magnus Lindau – bruttolön</t>
        </is>
      </c>
      <c r="B46" s="159">
        <f>'Inmatning'!$B$45*B45</f>
        <v/>
      </c>
      <c r="C46" s="159">
        <f>'Inmatning'!$B$45*C45</f>
        <v/>
      </c>
      <c r="D46" s="159">
        <f>'Inmatning'!$B$45*D45</f>
        <v/>
      </c>
      <c r="E46" s="159">
        <f>'Inmatning'!$B$45*E45</f>
        <v/>
      </c>
      <c r="F46" s="159">
        <f>'Inmatning'!$B$45*F45</f>
        <v/>
      </c>
      <c r="G46" s="159">
        <f>'Inmatning'!$B$45*G45</f>
        <v/>
      </c>
      <c r="H46" s="159">
        <f>'Inmatning'!$B$45*H45</f>
        <v/>
      </c>
      <c r="I46" s="159">
        <f>'Inmatning'!$B$45*I45</f>
        <v/>
      </c>
      <c r="J46" s="159">
        <f>SUM(B46:I46)</f>
        <v/>
      </c>
      <c r="K46" s="52" t="inlineStr">
        <is>
          <t>Bruttolön hämtas från Inmatning × arbetsgrad; kan skrivas över</t>
        </is>
      </c>
      <c r="L46" s="53" t="n"/>
      <c r="M46" s="8" t="n"/>
      <c r="N46" s="142" t="n"/>
      <c r="O46" s="142" t="n"/>
      <c r="P46" s="142" t="n"/>
    </row>
    <row r="47" ht="15" customHeight="1" s="155">
      <c r="A47" s="31" t="inlineStr">
        <is>
          <t>Magnus Lindau – arbetsgivaravgift</t>
        </is>
      </c>
      <c r="B47" s="159">
        <f t="array" ref="B47">B46*B$20</f>
        <v/>
      </c>
      <c r="C47" s="159">
        <f t="array" ref="C47">C46*C$20</f>
        <v/>
      </c>
      <c r="D47" s="159">
        <f t="array" ref="D47">D46*D$20</f>
        <v/>
      </c>
      <c r="E47" s="159">
        <f t="array" ref="E47">E46*E$20</f>
        <v/>
      </c>
      <c r="F47" s="159">
        <f t="array" ref="F47">F46*F$20</f>
        <v/>
      </c>
      <c r="G47" s="159">
        <f t="array" ref="G47">G46*G$20</f>
        <v/>
      </c>
      <c r="H47" s="159">
        <f t="array" ref="H47">H46*H$20</f>
        <v/>
      </c>
      <c r="I47" s="159">
        <f t="array" ref="I47">I46*I$20</f>
        <v/>
      </c>
      <c r="J47" s="159">
        <f t="array" ref="J47">SUM(B47:I47)</f>
        <v/>
      </c>
      <c r="K47" s="52" t="inlineStr">
        <is>
          <t>Bruttolön × arbetsgivaravgift %</t>
        </is>
      </c>
      <c r="L47" s="53" t="n"/>
      <c r="M47" s="8" t="n"/>
      <c r="N47" s="142" t="n"/>
      <c r="O47" s="142" t="n"/>
      <c r="P47" s="142" t="n"/>
    </row>
    <row r="48" ht="15" customHeight="1" s="155">
      <c r="A48" s="31" t="inlineStr">
        <is>
          <t>Magnus Lindau – tjänstepension</t>
        </is>
      </c>
      <c r="B48" s="159">
        <f>B46*'Inmatning'!$C$45</f>
        <v/>
      </c>
      <c r="C48" s="159">
        <f>C46*'Inmatning'!$C$45</f>
        <v/>
      </c>
      <c r="D48" s="159">
        <f>D46*'Inmatning'!$C$45</f>
        <v/>
      </c>
      <c r="E48" s="159">
        <f>E46*'Inmatning'!$C$45</f>
        <v/>
      </c>
      <c r="F48" s="159">
        <f>F46*'Inmatning'!$C$45</f>
        <v/>
      </c>
      <c r="G48" s="159">
        <f>G46*'Inmatning'!$C$45</f>
        <v/>
      </c>
      <c r="H48" s="159">
        <f>H46*'Inmatning'!$C$45</f>
        <v/>
      </c>
      <c r="I48" s="159">
        <f>I46*'Inmatning'!$C$45</f>
        <v/>
      </c>
      <c r="J48" s="159">
        <f>SUM(B48:I48)</f>
        <v/>
      </c>
      <c r="K48" s="52" t="inlineStr">
        <is>
          <t>Tjänstepension hämtas från individuell pensionssats; kan skrivas över</t>
        </is>
      </c>
      <c r="L48" s="53" t="n"/>
      <c r="M48" s="8" t="n"/>
      <c r="N48" s="142" t="n"/>
      <c r="O48" s="142" t="n"/>
      <c r="P48" s="142" t="n"/>
    </row>
    <row r="49" ht="15" customHeight="1" s="155">
      <c r="A49" s="31" t="inlineStr">
        <is>
          <t>Magnus Lindau – personalförsäkring</t>
        </is>
      </c>
      <c r="B49" s="159">
        <f t="array" ref="B49">B46*B$22</f>
        <v/>
      </c>
      <c r="C49" s="159">
        <f t="array" ref="C49">C46*C$22</f>
        <v/>
      </c>
      <c r="D49" s="159">
        <f t="array" ref="D49">D46*D$22</f>
        <v/>
      </c>
      <c r="E49" s="159">
        <f t="array" ref="E49">E46*E$22</f>
        <v/>
      </c>
      <c r="F49" s="159">
        <f t="array" ref="F49">F46*F$22</f>
        <v/>
      </c>
      <c r="G49" s="159">
        <f t="array" ref="G49">G46*G$22</f>
        <v/>
      </c>
      <c r="H49" s="159">
        <f t="array" ref="H49">H46*H$22</f>
        <v/>
      </c>
      <c r="I49" s="159">
        <f t="array" ref="I49">I46*I$22</f>
        <v/>
      </c>
      <c r="J49" s="159">
        <f t="array" ref="J49">SUM(B49:I49)</f>
        <v/>
      </c>
      <c r="K49" s="52" t="inlineStr">
        <is>
          <t>Bruttolön × personalförsäkring %</t>
        </is>
      </c>
      <c r="L49" s="53" t="n"/>
      <c r="M49" s="8" t="n"/>
      <c r="N49" s="142" t="n"/>
      <c r="O49" s="142" t="n"/>
      <c r="P49" s="142" t="n"/>
    </row>
    <row r="50" ht="26.85" customHeight="1" s="155">
      <c r="A50" s="54" t="inlineStr">
        <is>
          <t>Magnus Lindau – total personalkostnad</t>
        </is>
      </c>
      <c r="B50" s="161">
        <f t="array" ref="B50">SUM(B46:B49)</f>
        <v/>
      </c>
      <c r="C50" s="161">
        <f t="array" ref="C50">SUM(C46:C49)</f>
        <v/>
      </c>
      <c r="D50" s="161">
        <f t="array" ref="D50">SUM(D46:D49)</f>
        <v/>
      </c>
      <c r="E50" s="161">
        <f t="array" ref="E50">SUM(E46:E49)</f>
        <v/>
      </c>
      <c r="F50" s="161">
        <f t="array" ref="F50">SUM(F46:F49)</f>
        <v/>
      </c>
      <c r="G50" s="161">
        <f t="array" ref="G50">SUM(G46:G49)</f>
        <v/>
      </c>
      <c r="H50" s="161">
        <f t="array" ref="H50">SUM(H46:H49)</f>
        <v/>
      </c>
      <c r="I50" s="161">
        <f t="array" ref="I50">SUM(I46:I49)</f>
        <v/>
      </c>
      <c r="J50" s="161">
        <f t="array" ref="J50">SUM(B50:I50)</f>
        <v/>
      </c>
      <c r="K50" s="56" t="inlineStr">
        <is>
          <t>Summa lön + arbetsgivaravgift + pension + försäkring</t>
        </is>
      </c>
      <c r="L50" s="57" t="n"/>
      <c r="M50" s="8" t="n"/>
      <c r="N50" s="142" t="n"/>
      <c r="O50" s="142" t="n"/>
      <c r="P50" s="142" t="n"/>
    </row>
    <row r="51" ht="15" customHeight="1" s="155">
      <c r="A51" s="39" t="n"/>
      <c r="B51" s="40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41" t="n"/>
      <c r="L51" s="16" t="n"/>
      <c r="M51" s="8" t="n"/>
      <c r="N51" s="142" t="n"/>
      <c r="O51" s="142" t="n"/>
      <c r="P51" s="142" t="n"/>
    </row>
    <row r="52" ht="15" customHeight="1" s="155">
      <c r="A52" s="42" t="inlineStr">
        <is>
          <t>Wilhelm Johansson – arbetsgrad %</t>
        </is>
      </c>
      <c r="B52" s="43" t="n">
        <v>0.2</v>
      </c>
      <c r="C52" s="43" t="n">
        <v>0.5</v>
      </c>
      <c r="D52" s="43" t="n">
        <v>0.5</v>
      </c>
      <c r="E52" s="43" t="n">
        <v>0.5</v>
      </c>
      <c r="F52" s="43" t="n">
        <v>0.5</v>
      </c>
      <c r="G52" s="43" t="n">
        <v>0.5</v>
      </c>
      <c r="H52" s="43" t="n">
        <v>0.5</v>
      </c>
      <c r="I52" s="43" t="n">
        <v>0.5</v>
      </c>
      <c r="J52" s="43">
        <f t="array" ref="J52">AVERAGE(B52:I52)</f>
        <v/>
      </c>
      <c r="K52" s="44" t="inlineStr">
        <is>
          <t>Arbetsgrad kan ändras per månad</t>
        </is>
      </c>
      <c r="L52" s="45" t="n"/>
      <c r="M52" s="8" t="n"/>
      <c r="N52" s="142" t="n"/>
      <c r="O52" s="142" t="n"/>
      <c r="P52" s="142" t="n"/>
    </row>
    <row r="53" ht="15" customHeight="1" s="155">
      <c r="A53" s="31" t="inlineStr">
        <is>
          <t>Wilhelm Johansson – bruttolön</t>
        </is>
      </c>
      <c r="B53" s="159">
        <f>'Inmatning'!$B$46*B52</f>
        <v/>
      </c>
      <c r="C53" s="159">
        <f>'Inmatning'!$B$46*C52</f>
        <v/>
      </c>
      <c r="D53" s="159">
        <f>'Inmatning'!$B$46*D52</f>
        <v/>
      </c>
      <c r="E53" s="159">
        <f>'Inmatning'!$B$46*E52</f>
        <v/>
      </c>
      <c r="F53" s="159">
        <f>'Inmatning'!$B$46*F52</f>
        <v/>
      </c>
      <c r="G53" s="159">
        <f>'Inmatning'!$B$46*G52</f>
        <v/>
      </c>
      <c r="H53" s="159">
        <f>'Inmatning'!$B$46*H52</f>
        <v/>
      </c>
      <c r="I53" s="159">
        <f>'Inmatning'!$B$46*I52</f>
        <v/>
      </c>
      <c r="J53" s="159">
        <f>SUM(B53:I53)</f>
        <v/>
      </c>
      <c r="K53" s="52" t="inlineStr">
        <is>
          <t>Bruttolön hämtas från Inmatning × arbetsgrad; kan skrivas över</t>
        </is>
      </c>
      <c r="L53" s="53" t="n"/>
      <c r="M53" s="8" t="n"/>
      <c r="N53" s="142" t="n"/>
      <c r="O53" s="142" t="n"/>
      <c r="P53" s="142" t="n"/>
    </row>
    <row r="54" ht="15" customHeight="1" s="155">
      <c r="A54" s="31" t="inlineStr">
        <is>
          <t>Wilhelm Johansson – arbetsgivaravgift</t>
        </is>
      </c>
      <c r="B54" s="159">
        <f t="array" ref="B54">B53*B$20</f>
        <v/>
      </c>
      <c r="C54" s="159">
        <f t="array" ref="C54">C53*C$20</f>
        <v/>
      </c>
      <c r="D54" s="159">
        <f t="array" ref="D54">D53*D$20</f>
        <v/>
      </c>
      <c r="E54" s="159">
        <f t="array" ref="E54">E53*E$20</f>
        <v/>
      </c>
      <c r="F54" s="159">
        <f t="array" ref="F54">F53*F$20</f>
        <v/>
      </c>
      <c r="G54" s="159">
        <f t="array" ref="G54">G53*G$20</f>
        <v/>
      </c>
      <c r="H54" s="159">
        <f t="array" ref="H54">H53*H$20</f>
        <v/>
      </c>
      <c r="I54" s="159">
        <f t="array" ref="I54">I53*I$20</f>
        <v/>
      </c>
      <c r="J54" s="159">
        <f t="array" ref="J54">SUM(B54:I54)</f>
        <v/>
      </c>
      <c r="K54" s="52" t="inlineStr">
        <is>
          <t>Bruttolön × arbetsgivaravgift %</t>
        </is>
      </c>
      <c r="L54" s="53" t="n"/>
      <c r="M54" s="8" t="n"/>
      <c r="N54" s="142" t="n"/>
      <c r="O54" s="142" t="n"/>
      <c r="P54" s="142" t="n"/>
    </row>
    <row r="55" ht="22" customHeight="1" s="155">
      <c r="A55" s="58" t="inlineStr">
        <is>
          <t>Wilhelm Johansson – tjänstepension</t>
        </is>
      </c>
      <c r="B55" s="162">
        <f>B53*'Inmatning'!$C$46</f>
        <v/>
      </c>
      <c r="C55" s="162">
        <f>C53*'Inmatning'!$C$46</f>
        <v/>
      </c>
      <c r="D55" s="162">
        <f>D53*'Inmatning'!$C$46</f>
        <v/>
      </c>
      <c r="E55" s="162">
        <f>E53*'Inmatning'!$C$46</f>
        <v/>
      </c>
      <c r="F55" s="162">
        <f>F53*'Inmatning'!$C$46</f>
        <v/>
      </c>
      <c r="G55" s="162">
        <f>G53*'Inmatning'!$C$46</f>
        <v/>
      </c>
      <c r="H55" s="162">
        <f>H53*'Inmatning'!$C$46</f>
        <v/>
      </c>
      <c r="I55" s="162">
        <f>I53*'Inmatning'!$C$46</f>
        <v/>
      </c>
      <c r="J55" s="162">
        <f>SUM(B55:I55)</f>
        <v/>
      </c>
      <c r="K55" s="60" t="inlineStr">
        <is>
          <t>Tjänstepension hämtas från individuell pensionssats; kan skrivas över</t>
        </is>
      </c>
      <c r="L55" s="53" t="n"/>
      <c r="M55" s="8" t="n"/>
      <c r="N55" s="142" t="n"/>
      <c r="O55" s="142" t="n"/>
      <c r="P55" s="142" t="n"/>
    </row>
    <row r="56" ht="15" customHeight="1" s="155">
      <c r="A56" s="31" t="inlineStr">
        <is>
          <t>Wilhelm Johansson – personalförsäkring</t>
        </is>
      </c>
      <c r="B56" s="159">
        <f t="array" ref="B56">B53*B$22</f>
        <v/>
      </c>
      <c r="C56" s="159">
        <f t="array" ref="C56">C53*C$22</f>
        <v/>
      </c>
      <c r="D56" s="159">
        <f t="array" ref="D56">D53*D$22</f>
        <v/>
      </c>
      <c r="E56" s="159">
        <f t="array" ref="E56">E53*E$22</f>
        <v/>
      </c>
      <c r="F56" s="159">
        <f t="array" ref="F56">F53*F$22</f>
        <v/>
      </c>
      <c r="G56" s="159">
        <f t="array" ref="G56">G53*G$22</f>
        <v/>
      </c>
      <c r="H56" s="159">
        <f t="array" ref="H56">H53*H$22</f>
        <v/>
      </c>
      <c r="I56" s="159">
        <f t="array" ref="I56">I53*I$22</f>
        <v/>
      </c>
      <c r="J56" s="159">
        <f t="array" ref="J56">SUM(B56:I56)</f>
        <v/>
      </c>
      <c r="K56" s="52" t="inlineStr">
        <is>
          <t>Bruttolön × personalförsäkring %</t>
        </is>
      </c>
      <c r="L56" s="53" t="n"/>
      <c r="M56" s="8" t="n"/>
      <c r="N56" s="142" t="n"/>
      <c r="O56" s="142" t="n"/>
      <c r="P56" s="142" t="n"/>
    </row>
    <row r="57" ht="22" customHeight="1" s="155">
      <c r="A57" s="54" t="inlineStr">
        <is>
          <t>Wilhelm Johansson – total personalkostnad</t>
        </is>
      </c>
      <c r="B57" s="163">
        <f t="array" ref="B57">SUM(B53:B56)</f>
        <v/>
      </c>
      <c r="C57" s="163">
        <f t="array" ref="C57">SUM(C53:C56)</f>
        <v/>
      </c>
      <c r="D57" s="163">
        <f t="array" ref="D57">SUM(D53:D56)</f>
        <v/>
      </c>
      <c r="E57" s="163">
        <f t="array" ref="E57">SUM(E53:E56)</f>
        <v/>
      </c>
      <c r="F57" s="163">
        <f t="array" ref="F57">SUM(F53:F56)</f>
        <v/>
      </c>
      <c r="G57" s="163">
        <f t="array" ref="G57">SUM(G53:G56)</f>
        <v/>
      </c>
      <c r="H57" s="163">
        <f t="array" ref="H57">SUM(H53:H56)</f>
        <v/>
      </c>
      <c r="I57" s="163">
        <f t="array" ref="I57">SUM(I53:I56)</f>
        <v/>
      </c>
      <c r="J57" s="161">
        <f t="array" ref="J57">SUM(B57:I57)</f>
        <v/>
      </c>
      <c r="K57" s="56" t="inlineStr">
        <is>
          <t>Summa lön + arbetsgivaravgift + pension + försäkring</t>
        </is>
      </c>
      <c r="L57" s="57" t="n"/>
      <c r="M57" s="8" t="n"/>
      <c r="N57" s="142" t="n"/>
      <c r="O57" s="142" t="n"/>
      <c r="P57" s="142" t="n"/>
    </row>
    <row r="58" ht="15" customHeight="1" s="155">
      <c r="A58" s="39" t="n"/>
      <c r="B58" s="159" t="n"/>
      <c r="C58" s="159" t="n"/>
      <c r="D58" s="159" t="n"/>
      <c r="E58" s="159" t="n"/>
      <c r="F58" s="159" t="n"/>
      <c r="G58" s="159" t="n"/>
      <c r="H58" s="159" t="n"/>
      <c r="I58" s="159" t="n"/>
      <c r="J58" s="159" t="n"/>
      <c r="K58" s="41" t="n"/>
      <c r="L58" s="16" t="n"/>
      <c r="M58" s="8" t="n"/>
      <c r="N58" s="142" t="n"/>
      <c r="O58" s="142" t="n"/>
      <c r="P58" s="142" t="n"/>
    </row>
    <row r="59" ht="15" customHeight="1" s="155">
      <c r="A59" s="42" t="inlineStr">
        <is>
          <t>Ingrid Kraappa – arbetsgrad %</t>
        </is>
      </c>
      <c r="B59" s="43" t="n">
        <v>0.2</v>
      </c>
      <c r="C59" s="43" t="n">
        <v>0.2</v>
      </c>
      <c r="D59" s="43" t="n">
        <v>0.2</v>
      </c>
      <c r="E59" s="43" t="n">
        <v>0.2</v>
      </c>
      <c r="F59" s="43" t="n">
        <v>0.7</v>
      </c>
      <c r="G59" s="43" t="n">
        <v>0.7</v>
      </c>
      <c r="H59" s="43" t="n">
        <v>0.7</v>
      </c>
      <c r="I59" s="43" t="n">
        <v>0.7</v>
      </c>
      <c r="J59" s="43">
        <f t="array" ref="J59">AVERAGE(B59:I59)</f>
        <v/>
      </c>
      <c r="K59" s="44" t="inlineStr">
        <is>
          <t>Arbetsgrad kan ändras per månad</t>
        </is>
      </c>
      <c r="L59" s="45" t="n"/>
      <c r="M59" s="8" t="n"/>
      <c r="N59" s="142" t="n"/>
      <c r="O59" s="142" t="n"/>
      <c r="P59" s="142" t="n"/>
    </row>
    <row r="60" ht="15" customHeight="1" s="155">
      <c r="A60" s="31" t="inlineStr">
        <is>
          <t>Ingrid Kraappa– bruttolön</t>
        </is>
      </c>
      <c r="B60" s="159">
        <f>'Inmatning'!$B$47*B59</f>
        <v/>
      </c>
      <c r="C60" s="159">
        <f>'Inmatning'!$B$47*C59</f>
        <v/>
      </c>
      <c r="D60" s="159">
        <f>'Inmatning'!$B$47*D59</f>
        <v/>
      </c>
      <c r="E60" s="159">
        <f>'Inmatning'!$B$47*E59</f>
        <v/>
      </c>
      <c r="F60" s="159">
        <f>'Inmatning'!$B$47*F59</f>
        <v/>
      </c>
      <c r="G60" s="159">
        <f>'Inmatning'!$B$47*G59</f>
        <v/>
      </c>
      <c r="H60" s="159">
        <f>'Inmatning'!$B$47*H59</f>
        <v/>
      </c>
      <c r="I60" s="159">
        <f>'Inmatning'!$B$47*I59</f>
        <v/>
      </c>
      <c r="J60" s="159">
        <f>SUM(B60:I60)</f>
        <v/>
      </c>
      <c r="K60" s="52" t="inlineStr">
        <is>
          <t>Bruttolön hämtas från Inmatning × arbetsgrad; kan skrivas över</t>
        </is>
      </c>
      <c r="L60" s="53" t="n"/>
      <c r="M60" s="8" t="n"/>
      <c r="N60" s="142" t="n"/>
      <c r="O60" s="142" t="n"/>
      <c r="P60" s="142" t="n"/>
    </row>
    <row r="61" ht="15" customHeight="1" s="155">
      <c r="A61" s="31" t="inlineStr">
        <is>
          <t>Ingrid Kraappa – arbetsgivaravgift</t>
        </is>
      </c>
      <c r="B61" s="159">
        <f t="array" ref="B61">B60*B$20</f>
        <v/>
      </c>
      <c r="C61" s="159">
        <f t="array" ref="C61">C60*C$20</f>
        <v/>
      </c>
      <c r="D61" s="159">
        <f t="array" ref="D61">D60*D$20</f>
        <v/>
      </c>
      <c r="E61" s="159">
        <f t="array" ref="E61">E60*E$20</f>
        <v/>
      </c>
      <c r="F61" s="159">
        <f t="array" ref="F61">F60*F$20</f>
        <v/>
      </c>
      <c r="G61" s="159">
        <f t="array" ref="G61">G60*G$20</f>
        <v/>
      </c>
      <c r="H61" s="159">
        <f t="array" ref="H61">H60*H$20</f>
        <v/>
      </c>
      <c r="I61" s="159">
        <f t="array" ref="I61">I60*I$20</f>
        <v/>
      </c>
      <c r="J61" s="159">
        <f t="array" ref="J61">SUM(B61:I61)</f>
        <v/>
      </c>
      <c r="K61" s="52" t="inlineStr">
        <is>
          <t>Bruttolön × arbetsgivaravgift %</t>
        </is>
      </c>
      <c r="L61" s="53" t="n"/>
      <c r="M61" s="8" t="n"/>
      <c r="N61" s="142" t="n"/>
      <c r="O61" s="142" t="n"/>
      <c r="P61" s="142" t="n"/>
    </row>
    <row r="62" ht="15" customHeight="1" s="155">
      <c r="A62" s="31" t="inlineStr">
        <is>
          <t>Ingrid Kraappa – tjänstepension</t>
        </is>
      </c>
      <c r="B62" s="159">
        <f>B60*'Inmatning'!$C$47</f>
        <v/>
      </c>
      <c r="C62" s="159">
        <f>C60*'Inmatning'!$C$47</f>
        <v/>
      </c>
      <c r="D62" s="159">
        <f>D60*'Inmatning'!$C$47</f>
        <v/>
      </c>
      <c r="E62" s="159">
        <f>E60*'Inmatning'!$C$47</f>
        <v/>
      </c>
      <c r="F62" s="159">
        <f>F60*'Inmatning'!$C$47</f>
        <v/>
      </c>
      <c r="G62" s="159">
        <f>G60*'Inmatning'!$C$47</f>
        <v/>
      </c>
      <c r="H62" s="159">
        <f>H60*'Inmatning'!$C$47</f>
        <v/>
      </c>
      <c r="I62" s="159">
        <f>I60*'Inmatning'!$C$47</f>
        <v/>
      </c>
      <c r="J62" s="159">
        <f>SUM(B62:I62)</f>
        <v/>
      </c>
      <c r="K62" s="52" t="inlineStr">
        <is>
          <t>Tjänstepension hämtas från individuell pensionssats; kan skrivas över</t>
        </is>
      </c>
      <c r="L62" s="53" t="n"/>
      <c r="M62" s="8" t="n"/>
      <c r="N62" s="142" t="n"/>
      <c r="O62" s="142" t="n"/>
      <c r="P62" s="142" t="n"/>
    </row>
    <row r="63" ht="15" customHeight="1" s="155">
      <c r="A63" s="31" t="inlineStr">
        <is>
          <t>Ingrid Kraappa – personalförsäkring</t>
        </is>
      </c>
      <c r="B63" s="159">
        <f t="array" ref="B63">B60*B$22</f>
        <v/>
      </c>
      <c r="C63" s="159">
        <f t="array" ref="C63">C60*C$22</f>
        <v/>
      </c>
      <c r="D63" s="159">
        <f t="array" ref="D63">D60*D$22</f>
        <v/>
      </c>
      <c r="E63" s="159">
        <f t="array" ref="E63">E60*E$22</f>
        <v/>
      </c>
      <c r="F63" s="159">
        <f t="array" ref="F63">F60*F$22</f>
        <v/>
      </c>
      <c r="G63" s="159">
        <f t="array" ref="G63">G60*G$22</f>
        <v/>
      </c>
      <c r="H63" s="159">
        <f t="array" ref="H63">H60*H$22</f>
        <v/>
      </c>
      <c r="I63" s="159">
        <f t="array" ref="I63">I60*I$22</f>
        <v/>
      </c>
      <c r="J63" s="159">
        <f t="array" ref="J63">SUM(B63:I63)</f>
        <v/>
      </c>
      <c r="K63" s="52" t="inlineStr">
        <is>
          <t>Bruttolön × personalförsäkring %</t>
        </is>
      </c>
      <c r="L63" s="53" t="n"/>
      <c r="M63" s="8" t="n"/>
      <c r="N63" s="142" t="n"/>
      <c r="O63" s="142" t="n"/>
      <c r="P63" s="142" t="n"/>
    </row>
    <row r="64" ht="15" customHeight="1" s="155">
      <c r="A64" s="54" t="inlineStr">
        <is>
          <t>Ingrid Kraappa– total personalkostnad</t>
        </is>
      </c>
      <c r="B64" s="161">
        <f t="array" ref="B64">SUM(B60:B63)</f>
        <v/>
      </c>
      <c r="C64" s="161">
        <f t="array" ref="C64">SUM(C60:C63)</f>
        <v/>
      </c>
      <c r="D64" s="161">
        <f t="array" ref="D64">SUM(D60:D63)</f>
        <v/>
      </c>
      <c r="E64" s="161">
        <f t="array" ref="E64">SUM(E60:E63)</f>
        <v/>
      </c>
      <c r="F64" s="161">
        <f t="array" ref="F64">SUM(F60:F63)</f>
        <v/>
      </c>
      <c r="G64" s="161">
        <f t="array" ref="G64">SUM(G60:G63)</f>
        <v/>
      </c>
      <c r="H64" s="161">
        <f t="array" ref="H64">SUM(H60:H63)</f>
        <v/>
      </c>
      <c r="I64" s="161">
        <f t="array" ref="I64">SUM(I60:I63)</f>
        <v/>
      </c>
      <c r="J64" s="161">
        <f t="array" ref="J64">SUM(B64:I64)</f>
        <v/>
      </c>
      <c r="K64" s="56" t="inlineStr">
        <is>
          <t>Summa lön + arbetsgivaravgift + pension + försäkring</t>
        </is>
      </c>
      <c r="L64" s="57" t="n"/>
      <c r="M64" s="8" t="n"/>
      <c r="N64" s="142" t="n"/>
      <c r="O64" s="142" t="n"/>
      <c r="P64" s="142" t="n"/>
    </row>
    <row r="65" ht="15" customHeight="1" s="155">
      <c r="A65" s="39" t="n"/>
      <c r="B65" s="159" t="n"/>
      <c r="C65" s="159" t="n"/>
      <c r="D65" s="159" t="n"/>
      <c r="E65" s="159" t="n"/>
      <c r="F65" s="159" t="n"/>
      <c r="G65" s="159" t="n"/>
      <c r="H65" s="159" t="n"/>
      <c r="I65" s="159" t="n"/>
      <c r="J65" s="159" t="n"/>
      <c r="K65" s="41" t="n"/>
      <c r="L65" s="16" t="n"/>
      <c r="M65" s="8" t="n"/>
      <c r="N65" s="142" t="n"/>
      <c r="O65" s="142" t="n"/>
      <c r="P65" s="142" t="n"/>
    </row>
    <row r="66" ht="15" customHeight="1" s="155">
      <c r="A66" s="31" t="inlineStr">
        <is>
          <t>Summa personal</t>
        </is>
      </c>
      <c r="B66" s="159">
        <f>SUM(B29,B36,B43,B50,B57,B64)</f>
        <v/>
      </c>
      <c r="C66" s="159">
        <f>SUM(C29,C36,C43,C50,C57,C64)</f>
        <v/>
      </c>
      <c r="D66" s="159">
        <f>SUM(D29,D36,D43,D50,D57,D64)</f>
        <v/>
      </c>
      <c r="E66" s="159">
        <f>SUM(E29,E36,E43,E50,E57,E64)</f>
        <v/>
      </c>
      <c r="F66" s="159">
        <f>SUM(F29,F36,F43,F50,F57,F64)</f>
        <v/>
      </c>
      <c r="G66" s="159">
        <f>SUM(G29,G36,G43,G50,G57,G64)</f>
        <v/>
      </c>
      <c r="H66" s="159">
        <f>SUM(H29,H36,H43,H50,H57,H64)</f>
        <v/>
      </c>
      <c r="I66" s="159">
        <f>SUM(I29,I36,I43,I50,I57,I64)</f>
        <v/>
      </c>
      <c r="J66" s="159">
        <f>SUM(B66:I66)</f>
        <v/>
      </c>
      <c r="K66" s="41" t="n"/>
      <c r="L66" s="16" t="n"/>
      <c r="M66" s="8" t="n"/>
      <c r="N66" s="142" t="n"/>
      <c r="O66" s="142" t="n"/>
      <c r="P66" s="142" t="n"/>
    </row>
    <row r="67" ht="15" customHeight="1" s="155">
      <c r="A67" s="39" t="n"/>
      <c r="B67" s="159" t="n"/>
      <c r="C67" s="159" t="n"/>
      <c r="D67" s="159" t="n"/>
      <c r="E67" s="159" t="n"/>
      <c r="F67" s="159" t="n"/>
      <c r="G67" s="159" t="n"/>
      <c r="H67" s="159" t="n"/>
      <c r="I67" s="159" t="n"/>
      <c r="J67" s="159" t="n"/>
      <c r="K67" s="41" t="n"/>
      <c r="L67" s="16" t="n"/>
      <c r="M67" s="8" t="n"/>
      <c r="N67" s="142" t="n"/>
      <c r="O67" s="142" t="n"/>
      <c r="P67" s="142" t="n"/>
    </row>
    <row r="68" ht="22" customHeight="1" s="155">
      <c r="A68" s="58" t="inlineStr">
        <is>
          <t>ABONNEMANG &amp; MJUKVARA</t>
        </is>
      </c>
      <c r="B68" s="162" t="n"/>
      <c r="C68" s="162" t="n"/>
      <c r="D68" s="162" t="n"/>
      <c r="E68" s="162" t="n"/>
      <c r="F68" s="162" t="n"/>
      <c r="G68" s="162" t="n"/>
      <c r="H68" s="162" t="n"/>
      <c r="I68" s="162" t="n"/>
      <c r="J68" s="162" t="n"/>
      <c r="K68" s="62" t="n"/>
      <c r="L68" s="38" t="n"/>
      <c r="M68" s="8" t="n"/>
      <c r="N68" s="142" t="n"/>
      <c r="O68" s="142" t="n"/>
      <c r="P68" s="142" t="n"/>
    </row>
    <row r="69" ht="15" customHeight="1" s="155">
      <c r="A69" s="31" t="inlineStr">
        <is>
          <t>Adobe Creative Suite</t>
        </is>
      </c>
      <c r="B69" s="164" t="n">
        <v>1500</v>
      </c>
      <c r="C69" s="164" t="n">
        <v>1500</v>
      </c>
      <c r="D69" s="164" t="n">
        <v>1500</v>
      </c>
      <c r="E69" s="164" t="n">
        <v>1500</v>
      </c>
      <c r="F69" s="164" t="n">
        <v>1500</v>
      </c>
      <c r="G69" s="164" t="n">
        <v>1500</v>
      </c>
      <c r="H69" s="164" t="n">
        <v>1500</v>
      </c>
      <c r="I69" s="164" t="n">
        <v>1500</v>
      </c>
      <c r="J69" s="164">
        <f t="array" ref="J69">SUM(B69:I69)</f>
        <v/>
      </c>
      <c r="K69" s="33" t="inlineStr">
        <is>
          <t>Manuellt inmatat</t>
        </is>
      </c>
      <c r="L69" s="16" t="n"/>
      <c r="M69" s="8" t="n"/>
      <c r="N69" s="142" t="n"/>
      <c r="O69" s="142" t="n"/>
      <c r="P69" s="142" t="n"/>
    </row>
    <row r="70" ht="15" customHeight="1" s="155">
      <c r="A70" s="31" t="inlineStr">
        <is>
          <t>Google Workspace</t>
        </is>
      </c>
      <c r="B70" s="159">
        <f t="array" ref="B70">'Inmatning'!$B$32*'Inmatning'!$B$33</f>
        <v/>
      </c>
      <c r="C70" s="159">
        <f t="array" ref="C70">'Inmatning'!$B$32*'Inmatning'!$B$33</f>
        <v/>
      </c>
      <c r="D70" s="159">
        <f t="array" ref="D70">'Inmatning'!$B$32*'Inmatning'!$B$33</f>
        <v/>
      </c>
      <c r="E70" s="159">
        <f t="array" ref="E70">'Inmatning'!$B$32*'Inmatning'!$B$33</f>
        <v/>
      </c>
      <c r="F70" s="159">
        <f t="array" ref="F70">'Inmatning'!$B$32*'Inmatning'!$B$33</f>
        <v/>
      </c>
      <c r="G70" s="159">
        <f t="array" ref="G70">'Inmatning'!$B$32*'Inmatning'!$B$33</f>
        <v/>
      </c>
      <c r="H70" s="159">
        <f t="array" ref="H70">'Inmatning'!$B$32*'Inmatning'!$B$33</f>
        <v/>
      </c>
      <c r="I70" s="159">
        <f t="array" ref="I70">'Inmatning'!$B$32*'Inmatning'!$B$33</f>
        <v/>
      </c>
      <c r="J70" s="159">
        <f t="array" ref="J70">SUM(B70:I70)</f>
        <v/>
      </c>
      <c r="K70" s="33" t="inlineStr">
        <is>
          <t>Från Inmatning: per licens × antal licenser</t>
        </is>
      </c>
      <c r="L70" s="16" t="n"/>
      <c r="M70" s="8" t="n"/>
      <c r="N70" s="142" t="n"/>
      <c r="O70" s="142" t="n"/>
      <c r="P70" s="142" t="n"/>
    </row>
    <row r="71" ht="15" customHeight="1" s="155">
      <c r="A71" s="31" t="inlineStr">
        <is>
          <t>AI bildredigeringsprogram</t>
        </is>
      </c>
      <c r="B71" s="159">
        <f t="array" ref="B71">'Inmatning'!$B$35</f>
        <v/>
      </c>
      <c r="C71" s="159">
        <f t="array" ref="C71">'Inmatning'!$B$35</f>
        <v/>
      </c>
      <c r="D71" s="159">
        <f t="array" ref="D71">'Inmatning'!$B$35</f>
        <v/>
      </c>
      <c r="E71" s="159">
        <f t="array" ref="E71">'Inmatning'!$B$35</f>
        <v/>
      </c>
      <c r="F71" s="159">
        <f t="array" ref="F71">'Inmatning'!$B$35</f>
        <v/>
      </c>
      <c r="G71" s="159">
        <f t="array" ref="G71">'Inmatning'!$B$35</f>
        <v/>
      </c>
      <c r="H71" s="159">
        <f t="array" ref="H71">'Inmatning'!$B$35</f>
        <v/>
      </c>
      <c r="I71" s="159">
        <f t="array" ref="I71">'Inmatning'!$B$35</f>
        <v/>
      </c>
      <c r="J71" s="159">
        <f t="array" ref="J71">SUM(B71:I71)</f>
        <v/>
      </c>
      <c r="K71" s="33" t="inlineStr">
        <is>
          <t>Från Inmatning</t>
        </is>
      </c>
      <c r="L71" s="16" t="n"/>
      <c r="M71" s="8" t="n"/>
      <c r="N71" s="142" t="n"/>
      <c r="O71" s="142" t="n"/>
      <c r="P71" s="142" t="n"/>
    </row>
    <row r="72" ht="22" customHeight="1" s="155">
      <c r="A72" s="64" t="inlineStr">
        <is>
          <t>AI videoredigeringsprogram</t>
        </is>
      </c>
      <c r="B72" s="165">
        <f t="array" ref="B72">'Inmatning'!$B$36</f>
        <v/>
      </c>
      <c r="C72" s="165">
        <f t="array" ref="C72">'Inmatning'!$B$36</f>
        <v/>
      </c>
      <c r="D72" s="165">
        <f t="array" ref="D72">'Inmatning'!$B$36</f>
        <v/>
      </c>
      <c r="E72" s="165">
        <f t="array" ref="E72">'Inmatning'!$B$36</f>
        <v/>
      </c>
      <c r="F72" s="165">
        <f t="array" ref="F72">'Inmatning'!$B$36</f>
        <v/>
      </c>
      <c r="G72" s="165">
        <f t="array" ref="G72">'Inmatning'!$B$36</f>
        <v/>
      </c>
      <c r="H72" s="165">
        <f t="array" ref="H72">'Inmatning'!$B$36</f>
        <v/>
      </c>
      <c r="I72" s="165">
        <f t="array" ref="I72">'Inmatning'!$B$36</f>
        <v/>
      </c>
      <c r="J72" s="165">
        <f t="array" ref="J72">SUM(B72:I72)</f>
        <v/>
      </c>
      <c r="K72" s="66" t="inlineStr">
        <is>
          <t>Från Inmatning</t>
        </is>
      </c>
      <c r="L72" s="38" t="n"/>
      <c r="M72" s="8" t="n"/>
      <c r="N72" s="142" t="n"/>
      <c r="O72" s="142" t="n"/>
      <c r="P72" s="142" t="n"/>
    </row>
    <row r="73" ht="15" customHeight="1" s="155">
      <c r="A73" s="31" t="inlineStr">
        <is>
          <t>Företagsförsäkring</t>
        </is>
      </c>
      <c r="B73" s="164">
        <f t="array" ref="B73">'Inmatning'!$B$7</f>
        <v/>
      </c>
      <c r="C73" s="164">
        <f t="array" ref="C73">'Inmatning'!$B$7</f>
        <v/>
      </c>
      <c r="D73" s="164">
        <f t="array" ref="D73">'Inmatning'!$B$7</f>
        <v/>
      </c>
      <c r="E73" s="164">
        <f t="array" ref="E73">'Inmatning'!$B$7</f>
        <v/>
      </c>
      <c r="F73" s="164">
        <f t="array" ref="F73">'Inmatning'!$B$7</f>
        <v/>
      </c>
      <c r="G73" s="164">
        <f t="array" ref="G73">'Inmatning'!$B$7</f>
        <v/>
      </c>
      <c r="H73" s="164">
        <f t="array" ref="H73">'Inmatning'!$B$7</f>
        <v/>
      </c>
      <c r="I73" s="164">
        <f t="array" ref="I73">'Inmatning'!$B$7</f>
        <v/>
      </c>
      <c r="J73" s="164">
        <f t="array" ref="J73">SUM(B73:I73)</f>
        <v/>
      </c>
      <c r="K73" s="33" t="inlineStr">
        <is>
          <t>Manuellt inmatat</t>
        </is>
      </c>
      <c r="L73" s="16" t="n"/>
      <c r="M73" s="8" t="n"/>
      <c r="N73" s="142" t="n"/>
      <c r="O73" s="142" t="n"/>
      <c r="P73" s="142" t="n"/>
    </row>
    <row r="74" ht="22" customHeight="1" s="155">
      <c r="A74" s="67" t="n"/>
      <c r="B74" s="68">
        <f t="array" ref="B74">'Inmatning'!$B$8*'Inmatning'!$B$9</f>
        <v/>
      </c>
      <c r="C74" s="68">
        <f t="array" ref="C74">'Inmatning'!$B$8*'Inmatning'!$B$9</f>
        <v/>
      </c>
      <c r="D74" s="68">
        <f t="array" ref="D74">'Inmatning'!$B$8*'Inmatning'!$B$9</f>
        <v/>
      </c>
      <c r="E74" s="68">
        <f t="array" ref="E74">'Inmatning'!$B$8*'Inmatning'!$B$9</f>
        <v/>
      </c>
      <c r="F74" s="68">
        <f t="array" ref="F74">'Inmatning'!$B$8*'Inmatning'!$B$9</f>
        <v/>
      </c>
      <c r="G74" s="68">
        <f t="array" ref="G74">'Inmatning'!$B$8*'Inmatning'!$B$9</f>
        <v/>
      </c>
      <c r="H74" s="68">
        <f t="array" ref="H74">'Inmatning'!$B$8*'Inmatning'!$B$9</f>
        <v/>
      </c>
      <c r="I74" s="68">
        <f t="array" ref="I74">'Inmatning'!$B$8*'Inmatning'!$B$9</f>
        <v/>
      </c>
      <c r="J74" s="69">
        <f t="array" ref="J74">SUM(B74:I74)</f>
        <v/>
      </c>
      <c r="K74" s="70" t="inlineStr">
        <is>
          <t>Från Inmatning: per lina × antal linor</t>
        </is>
      </c>
      <c r="L74" s="29" t="n"/>
      <c r="M74" s="8" t="n"/>
      <c r="N74" s="142" t="n"/>
      <c r="O74" s="142" t="n"/>
      <c r="P74" s="142" t="n"/>
    </row>
    <row r="75" ht="15" customHeight="1" s="155">
      <c r="A75" s="31" t="inlineStr">
        <is>
          <t>Representation</t>
        </is>
      </c>
      <c r="B75" s="159" t="n">
        <v>1000</v>
      </c>
      <c r="C75" s="159" t="n">
        <v>1000</v>
      </c>
      <c r="D75" s="159" t="n">
        <v>1000</v>
      </c>
      <c r="E75" s="159" t="n">
        <v>1000</v>
      </c>
      <c r="F75" s="159" t="n">
        <v>1000</v>
      </c>
      <c r="G75" s="159" t="n">
        <v>1000</v>
      </c>
      <c r="H75" s="159" t="n">
        <v>1000</v>
      </c>
      <c r="I75" s="159" t="n">
        <v>1000</v>
      </c>
      <c r="J75" s="159">
        <f t="array" ref="J75">SUM(B75:I75)</f>
        <v/>
      </c>
      <c r="K75" s="33" t="inlineStr">
        <is>
          <t>Från Inmatning</t>
        </is>
      </c>
      <c r="L75" s="16" t="n"/>
      <c r="M75" s="8" t="n"/>
      <c r="N75" s="142" t="n"/>
      <c r="O75" s="142" t="n"/>
      <c r="P75" s="142" t="n"/>
    </row>
    <row r="76" ht="15" customHeight="1" s="155">
      <c r="A76" s="31" t="inlineStr">
        <is>
          <t>Telefonabbonemang</t>
        </is>
      </c>
      <c r="B76" s="159" t="n">
        <v>3000</v>
      </c>
      <c r="C76" s="159" t="n">
        <v>3000</v>
      </c>
      <c r="D76" s="159" t="n">
        <v>3000</v>
      </c>
      <c r="E76" s="159" t="n">
        <v>3000</v>
      </c>
      <c r="F76" s="159" t="n">
        <v>3000</v>
      </c>
      <c r="G76" s="159" t="n">
        <v>3000</v>
      </c>
      <c r="H76" s="159" t="n">
        <v>3000</v>
      </c>
      <c r="I76" s="159" t="n">
        <v>3000</v>
      </c>
      <c r="J76" s="159">
        <f t="array" ref="J76">SUM(B76:I76)</f>
        <v/>
      </c>
      <c r="K76" s="33" t="inlineStr">
        <is>
          <t>Från Inmatning</t>
        </is>
      </c>
      <c r="L76" s="16" t="n"/>
      <c r="M76" s="8" t="n"/>
      <c r="N76" s="142" t="n"/>
      <c r="O76" s="142" t="n"/>
      <c r="P76" s="142" t="n"/>
    </row>
    <row r="77" ht="15" customHeight="1" s="155">
      <c r="A77" s="31" t="inlineStr">
        <is>
          <t>Bokföring/Fakturering</t>
        </is>
      </c>
      <c r="B77" s="164">
        <f t="array" ref="B77">'Inmatning'!$B$16</f>
        <v/>
      </c>
      <c r="C77" s="164">
        <f t="array" ref="C77">'Inmatning'!$B$16</f>
        <v/>
      </c>
      <c r="D77" s="164">
        <f t="array" ref="D77">'Inmatning'!$B$16</f>
        <v/>
      </c>
      <c r="E77" s="164">
        <f t="array" ref="E77">'Inmatning'!$B$16</f>
        <v/>
      </c>
      <c r="F77" s="164">
        <f t="array" ref="F77">'Inmatning'!$B$16</f>
        <v/>
      </c>
      <c r="G77" s="164">
        <f t="array" ref="G77">'Inmatning'!$B$16</f>
        <v/>
      </c>
      <c r="H77" s="164">
        <f t="array" ref="H77">'Inmatning'!$B$16</f>
        <v/>
      </c>
      <c r="I77" s="164">
        <f t="array" ref="I77">'Inmatning'!$B$16</f>
        <v/>
      </c>
      <c r="J77" s="164">
        <f t="array" ref="J77">SUM(B77:I77)</f>
        <v/>
      </c>
      <c r="K77" s="33" t="inlineStr">
        <is>
          <t>Från Inmatning</t>
        </is>
      </c>
      <c r="L77" s="16" t="n"/>
      <c r="M77" s="8" t="n"/>
      <c r="N77" s="142" t="n"/>
      <c r="O77" s="142" t="n"/>
      <c r="P77" s="142" t="n"/>
    </row>
    <row r="78" ht="22" customHeight="1" s="155">
      <c r="A78" s="71" t="inlineStr">
        <is>
          <t>Projektstyrning</t>
        </is>
      </c>
      <c r="B78" s="68">
        <f t="array" ref="B78">'Inmatning'!$B$17</f>
        <v/>
      </c>
      <c r="C78" s="68">
        <f t="array" ref="C78">'Inmatning'!$B$17</f>
        <v/>
      </c>
      <c r="D78" s="68">
        <f t="array" ref="D78">'Inmatning'!$B$17</f>
        <v/>
      </c>
      <c r="E78" s="68">
        <f t="array" ref="E78">'Inmatning'!$B$17</f>
        <v/>
      </c>
      <c r="F78" s="68">
        <f t="array" ref="F78">'Inmatning'!$B$17</f>
        <v/>
      </c>
      <c r="G78" s="68">
        <f t="array" ref="G78">'Inmatning'!$B$17</f>
        <v/>
      </c>
      <c r="H78" s="68">
        <f t="array" ref="H78">'Inmatning'!$B$17</f>
        <v/>
      </c>
      <c r="I78" s="68">
        <f t="array" ref="I78">'Inmatning'!$B$17</f>
        <v/>
      </c>
      <c r="J78" s="69">
        <f t="array" ref="J78">SUM(B78:I78)</f>
        <v/>
      </c>
      <c r="K78" s="70" t="inlineStr">
        <is>
          <t>Från Inmatning</t>
        </is>
      </c>
      <c r="L78" s="29" t="n"/>
      <c r="M78" s="8" t="n"/>
      <c r="N78" s="142" t="n"/>
      <c r="O78" s="142" t="n"/>
      <c r="P78" s="142" t="n"/>
    </row>
    <row r="79" ht="15" customHeight="1" s="155">
      <c r="A79" s="72" t="inlineStr">
        <is>
          <t>Summa abonnemang &amp; mjukvara</t>
        </is>
      </c>
      <c r="B79" s="166">
        <f t="array" ref="B79">SUM(B69:B78)</f>
        <v/>
      </c>
      <c r="C79" s="166">
        <f t="array" ref="C79">SUM(C69:C78)</f>
        <v/>
      </c>
      <c r="D79" s="166">
        <f t="array" ref="D79">SUM(D69:D78)</f>
        <v/>
      </c>
      <c r="E79" s="166">
        <f t="array" ref="E79">SUM(E69:E78)</f>
        <v/>
      </c>
      <c r="F79" s="166">
        <f t="array" ref="F79">SUM(F69:F78)</f>
        <v/>
      </c>
      <c r="G79" s="166">
        <f t="array" ref="G79">SUM(G69:G78)</f>
        <v/>
      </c>
      <c r="H79" s="166">
        <f t="array" ref="H79">SUM(H69:H78)</f>
        <v/>
      </c>
      <c r="I79" s="166">
        <f t="array" ref="I79">SUM(I69:I78)</f>
        <v/>
      </c>
      <c r="J79" s="166">
        <f t="array" ref="J79">SUM(B79:I79)</f>
        <v/>
      </c>
      <c r="K79" s="74" t="n"/>
      <c r="L79" s="16" t="n"/>
      <c r="M79" s="8" t="n"/>
      <c r="N79" s="142" t="n"/>
      <c r="O79" s="142" t="n"/>
      <c r="P79" s="142" t="n"/>
    </row>
    <row r="80" ht="26.85" customHeight="1" s="155">
      <c r="A80" s="39" t="n"/>
      <c r="B80" s="159" t="n"/>
      <c r="C80" s="159" t="n"/>
      <c r="D80" s="159" t="n"/>
      <c r="E80" s="159" t="n"/>
      <c r="F80" s="159" t="n"/>
      <c r="G80" s="159" t="n"/>
      <c r="H80" s="159" t="n"/>
      <c r="I80" s="159" t="n"/>
      <c r="J80" s="159" t="n"/>
      <c r="K80" s="41" t="n"/>
      <c r="L80" s="16" t="n"/>
      <c r="M80" s="8" t="n"/>
      <c r="N80" s="142" t="n"/>
      <c r="O80" s="142" t="n"/>
      <c r="P80" s="142" t="n"/>
    </row>
    <row r="81" ht="15" customHeight="1" s="155">
      <c r="A81" s="31" t="inlineStr">
        <is>
          <t>LOKAL &amp; DRIFT</t>
        </is>
      </c>
      <c r="B81" s="75" t="n"/>
      <c r="C81" s="75" t="n"/>
      <c r="D81" s="75" t="n"/>
      <c r="E81" s="75" t="n"/>
      <c r="F81" s="75" t="n"/>
      <c r="G81" s="75" t="n"/>
      <c r="H81" s="75" t="n"/>
      <c r="I81" s="75" t="n"/>
      <c r="J81" s="75" t="n"/>
      <c r="K81" s="41" t="n"/>
      <c r="L81" s="16" t="n"/>
      <c r="M81" s="8" t="n"/>
      <c r="N81" s="142" t="n"/>
      <c r="O81" s="142" t="n"/>
      <c r="P81" s="142" t="n"/>
    </row>
    <row r="82" ht="15" customHeight="1" s="155">
      <c r="A82" s="76" t="inlineStr">
        <is>
          <t>Kontorshyra</t>
        </is>
      </c>
      <c r="B82" s="167">
        <f t="array" ref="B82">'Inmatning'!$B$19</f>
        <v/>
      </c>
      <c r="C82" s="167">
        <f t="array" ref="C82">'Inmatning'!$B$19</f>
        <v/>
      </c>
      <c r="D82" s="167">
        <f t="array" ref="D82">'Inmatning'!$B$19</f>
        <v/>
      </c>
      <c r="E82" s="167">
        <f t="array" ref="E82">'Inmatning'!$B$19</f>
        <v/>
      </c>
      <c r="F82" s="167">
        <f t="array" ref="F82">'Inmatning'!$B$19</f>
        <v/>
      </c>
      <c r="G82" s="167">
        <f t="array" ref="G82">'Inmatning'!$B$19</f>
        <v/>
      </c>
      <c r="H82" s="167">
        <f t="array" ref="H82">'Inmatning'!$B$19</f>
        <v/>
      </c>
      <c r="I82" s="167">
        <f t="array" ref="I82">'Inmatning'!$B$19</f>
        <v/>
      </c>
      <c r="J82" s="167">
        <f t="array" ref="J82">SUM(B82:I82)</f>
        <v/>
      </c>
      <c r="K82" s="78" t="inlineStr">
        <is>
          <t>Manuellt inmatat</t>
        </is>
      </c>
      <c r="L82" s="16" t="n"/>
      <c r="M82" s="8" t="n"/>
      <c r="N82" s="142" t="n"/>
      <c r="O82" s="142" t="n"/>
      <c r="P82" s="142" t="n"/>
    </row>
    <row r="83" ht="22" customHeight="1" s="155">
      <c r="A83" s="79" t="inlineStr">
        <is>
          <t>Förbrukning/kaffe/print/städ</t>
        </is>
      </c>
      <c r="B83" s="168">
        <f t="array" ref="B83">'Inmatning'!$B$18</f>
        <v/>
      </c>
      <c r="C83" s="168">
        <f t="array" ref="C83">'Inmatning'!$B$18</f>
        <v/>
      </c>
      <c r="D83" s="168">
        <f t="array" ref="D83">'Inmatning'!$B$18</f>
        <v/>
      </c>
      <c r="E83" s="168">
        <f t="array" ref="E83">'Inmatning'!$B$18</f>
        <v/>
      </c>
      <c r="F83" s="168">
        <f t="array" ref="F83">'Inmatning'!$B$18</f>
        <v/>
      </c>
      <c r="G83" s="168">
        <f t="array" ref="G83">'Inmatning'!$B$18</f>
        <v/>
      </c>
      <c r="H83" s="168">
        <f t="array" ref="H83">'Inmatning'!$B$18</f>
        <v/>
      </c>
      <c r="I83" s="168">
        <f t="array" ref="I83">'Inmatning'!$B$18</f>
        <v/>
      </c>
      <c r="J83" s="168">
        <f t="array" ref="J83">SUM(B83:I83)</f>
        <v/>
      </c>
      <c r="K83" s="81" t="inlineStr">
        <is>
          <t>Från Inmatning</t>
        </is>
      </c>
      <c r="L83" s="82" t="n"/>
      <c r="M83" s="8" t="n"/>
      <c r="N83" s="142" t="n"/>
      <c r="O83" s="142" t="n"/>
      <c r="P83" s="142" t="n"/>
    </row>
    <row r="84" ht="20" customHeight="1" s="155">
      <c r="A84" s="83" t="inlineStr">
        <is>
          <t>Summa lokal &amp; drift</t>
        </is>
      </c>
      <c r="B84" s="169">
        <f t="array" ref="B84">SUM(B82:B83)</f>
        <v/>
      </c>
      <c r="C84" s="169">
        <f t="array" ref="C84">SUM(C82:C83)</f>
        <v/>
      </c>
      <c r="D84" s="169">
        <f t="array" ref="D84">SUM(D82:D83)</f>
        <v/>
      </c>
      <c r="E84" s="169">
        <f t="array" ref="E84">SUM(E82:E83)</f>
        <v/>
      </c>
      <c r="F84" s="169">
        <f t="array" ref="F84">SUM(F82:F83)</f>
        <v/>
      </c>
      <c r="G84" s="169">
        <f t="array" ref="G84">SUM(G82:G83)</f>
        <v/>
      </c>
      <c r="H84" s="169">
        <f t="array" ref="H84">SUM(H82:H83)</f>
        <v/>
      </c>
      <c r="I84" s="169">
        <f t="array" ref="I84">SUM(I82:I83)</f>
        <v/>
      </c>
      <c r="J84" s="169">
        <f t="array" ref="J84">SUM(B84:I84)</f>
        <v/>
      </c>
      <c r="K84" s="85" t="n"/>
      <c r="L84" s="57" t="n"/>
      <c r="M84" s="8" t="n"/>
      <c r="N84" s="142" t="n"/>
      <c r="O84" s="142" t="n"/>
      <c r="P84" s="142" t="n"/>
    </row>
    <row r="85" ht="20" customHeight="1" s="155">
      <c r="A85" s="86" t="n"/>
      <c r="B85" s="87" t="n"/>
      <c r="C85" s="87" t="n"/>
      <c r="D85" s="87" t="n"/>
      <c r="E85" s="87" t="n"/>
      <c r="F85" s="87" t="n"/>
      <c r="G85" s="87" t="n"/>
      <c r="H85" s="87" t="n"/>
      <c r="I85" s="87" t="n"/>
      <c r="J85" s="87" t="n"/>
      <c r="K85" s="85" t="n"/>
      <c r="L85" s="57" t="n"/>
      <c r="M85" s="8" t="n"/>
      <c r="N85" s="142" t="n"/>
      <c r="O85" s="142" t="n"/>
      <c r="P85" s="142" t="n"/>
    </row>
    <row r="86" ht="20" customHeight="1" s="155">
      <c r="A86" s="83" t="inlineStr">
        <is>
          <t>AVSKRIVNINGAR &amp; INVESTERINGAR</t>
        </is>
      </c>
      <c r="B86" s="87" t="n"/>
      <c r="C86" s="87" t="n"/>
      <c r="D86" s="87" t="n"/>
      <c r="E86" s="87" t="n"/>
      <c r="F86" s="87" t="n"/>
      <c r="G86" s="87" t="n"/>
      <c r="H86" s="87" t="n"/>
      <c r="I86" s="87" t="n"/>
      <c r="J86" s="87" t="n"/>
      <c r="K86" s="85" t="n"/>
      <c r="L86" s="57" t="n"/>
      <c r="M86" s="8" t="n"/>
      <c r="N86" s="142" t="n"/>
      <c r="O86" s="142" t="n"/>
      <c r="P86" s="142" t="n"/>
    </row>
    <row r="87" ht="29" customHeight="1" s="155">
      <c r="A87" s="83" t="inlineStr">
        <is>
          <t>Avskrivning hårdvara (P&amp;L)</t>
        </is>
      </c>
      <c r="B87" s="170">
        <f t="array" ref="B87">(('Inmatning'!$B$2*'Inmatning'!$B$20)+('Inmatning'!$B$2*'Inmatning'!$B$21)+('Inmatning'!$B$2*'Inmatning'!$B$22)+('Inmatning'!$B$2*'Inmatning'!$B$23)+('Inmatning'!$B$2*'Inmatning'!$B$24)+('Inmatning'!$B$2*'Inmatning'!$B$25)+'Inmatning'!$B$26+'Inmatning'!$B$27+'Inmatning'!$B$28)/'Inmatning'!$B$29</f>
        <v/>
      </c>
      <c r="C87" s="170">
        <f t="array" ref="C87">(('Inmatning'!$B$2*'Inmatning'!$B$20)+('Inmatning'!$B$2*'Inmatning'!$B$21)+('Inmatning'!$B$2*'Inmatning'!$B$22)+('Inmatning'!$B$2*'Inmatning'!$B$23)+('Inmatning'!$B$2*'Inmatning'!$B$24)+('Inmatning'!$B$2*'Inmatning'!$B$25)+'Inmatning'!$B$26+'Inmatning'!$B$27+'Inmatning'!$B$28)/'Inmatning'!$B$29</f>
        <v/>
      </c>
      <c r="D87" s="170">
        <f t="array" ref="D87">(('Inmatning'!$B$2*'Inmatning'!$B$20)+('Inmatning'!$B$2*'Inmatning'!$B$21)+('Inmatning'!$B$2*'Inmatning'!$B$22)+('Inmatning'!$B$2*'Inmatning'!$B$23)+('Inmatning'!$B$2*'Inmatning'!$B$24)+('Inmatning'!$B$2*'Inmatning'!$B$25)+'Inmatning'!$B$26+'Inmatning'!$B$27+'Inmatning'!$B$28)/'Inmatning'!$B$29</f>
        <v/>
      </c>
      <c r="E87" s="170">
        <f t="array" ref="E87">(('Inmatning'!$B$2*'Inmatning'!$B$20)+('Inmatning'!$B$2*'Inmatning'!$B$21)+('Inmatning'!$B$2*'Inmatning'!$B$22)+('Inmatning'!$B$2*'Inmatning'!$B$23)+('Inmatning'!$B$2*'Inmatning'!$B$24)+('Inmatning'!$B$2*'Inmatning'!$B$25)+'Inmatning'!$B$26+'Inmatning'!$B$27+'Inmatning'!$B$28)/'Inmatning'!$B$29</f>
        <v/>
      </c>
      <c r="F87" s="170">
        <f t="array" ref="F87">(('Inmatning'!$B$2*'Inmatning'!$B$20)+('Inmatning'!$B$2*'Inmatning'!$B$21)+('Inmatning'!$B$2*'Inmatning'!$B$22)+('Inmatning'!$B$2*'Inmatning'!$B$23)+('Inmatning'!$B$2*'Inmatning'!$B$24)+('Inmatning'!$B$2*'Inmatning'!$B$25)+'Inmatning'!$B$26+'Inmatning'!$B$27+'Inmatning'!$B$28)/'Inmatning'!$B$29</f>
        <v/>
      </c>
      <c r="G87" s="170">
        <f t="array" ref="G87">(('Inmatning'!$B$2*'Inmatning'!$B$20)+('Inmatning'!$B$2*'Inmatning'!$B$21)+('Inmatning'!$B$2*'Inmatning'!$B$22)+('Inmatning'!$B$2*'Inmatning'!$B$23)+('Inmatning'!$B$2*'Inmatning'!$B$24)+('Inmatning'!$B$2*'Inmatning'!$B$25)+'Inmatning'!$B$26+'Inmatning'!$B$27+'Inmatning'!$B$28)/'Inmatning'!$B$29</f>
        <v/>
      </c>
      <c r="H87" s="170">
        <f t="array" ref="H87">(('Inmatning'!$B$2*'Inmatning'!$B$20)+('Inmatning'!$B$2*'Inmatning'!$B$21)+('Inmatning'!$B$2*'Inmatning'!$B$22)+('Inmatning'!$B$2*'Inmatning'!$B$23)+('Inmatning'!$B$2*'Inmatning'!$B$24)+('Inmatning'!$B$2*'Inmatning'!$B$25)+'Inmatning'!$B$26+'Inmatning'!$B$27+'Inmatning'!$B$28)/'Inmatning'!$B$29</f>
        <v/>
      </c>
      <c r="I87" s="170">
        <f t="array" ref="I87">(('Inmatning'!$B$2*'Inmatning'!$B$20)+('Inmatning'!$B$2*'Inmatning'!$B$21)+('Inmatning'!$B$2*'Inmatning'!$B$22)+('Inmatning'!$B$2*'Inmatning'!$B$23)+('Inmatning'!$B$2*'Inmatning'!$B$24)+('Inmatning'!$B$2*'Inmatning'!$B$25)+'Inmatning'!$B$26+'Inmatning'!$B$27+'Inmatning'!$B$28)/'Inmatning'!$B$29</f>
        <v/>
      </c>
      <c r="J87" s="170">
        <f t="array" ref="J87">SUM(B87:I87)</f>
        <v/>
      </c>
      <c r="K87" s="89" t="inlineStr">
        <is>
          <t>Beräknas på hårdvara/CAPEX över avskrivningstid enligt Inmatning</t>
        </is>
      </c>
      <c r="L87" s="57" t="n"/>
      <c r="M87" s="8" t="n"/>
      <c r="N87" s="142" t="n"/>
      <c r="O87" s="142" t="n"/>
      <c r="P87" s="142" t="n"/>
    </row>
    <row r="88" ht="20" customHeight="1" s="155">
      <c r="A88" s="90" t="inlineStr">
        <is>
          <t>Engångsinvestering hårdvara (kassa)</t>
        </is>
      </c>
      <c r="B88" s="91">
        <f t="array" ref="B88">(('Inmatning'!$B$2*'Inmatning'!$B$20)+('Inmatning'!$B$2*'Inmatning'!$B$21)+('Inmatning'!$B$2*'Inmatning'!$B$22)+('Inmatning'!$B$2*'Inmatning'!$B$23)+('Inmatning'!$B$2*'Inmatning'!$B$24)+('Inmatning'!$B$2*'Inmatning'!$B$25)+'Inmatning'!$B$26+'Inmatning'!$B$27+'Inmatning'!$B$28)</f>
        <v/>
      </c>
      <c r="C88" s="91" t="n">
        <v>0</v>
      </c>
      <c r="D88" s="91" t="n">
        <v>0</v>
      </c>
      <c r="E88" s="91" t="n">
        <v>0</v>
      </c>
      <c r="F88" s="91" t="n">
        <v>0</v>
      </c>
      <c r="G88" s="91" t="n">
        <v>0</v>
      </c>
      <c r="H88" s="91" t="n">
        <v>0</v>
      </c>
      <c r="I88" s="91" t="n">
        <v>0</v>
      </c>
      <c r="J88" s="91">
        <f t="array" ref="J88">SUM(B88:I88)</f>
        <v/>
      </c>
      <c r="K88" s="92" t="inlineStr">
        <is>
          <t>Läggs som kassautflöde i maj, ej i P&amp;L-resultat</t>
        </is>
      </c>
      <c r="L88" s="57" t="n"/>
      <c r="M88" s="8" t="n"/>
      <c r="N88" s="142" t="n"/>
      <c r="O88" s="142" t="n"/>
      <c r="P88" s="142" t="n"/>
    </row>
    <row r="89" ht="22" customHeight="1" s="155">
      <c r="A89" s="93" t="n"/>
      <c r="B89" s="94" t="n"/>
      <c r="C89" s="94" t="n"/>
      <c r="D89" s="94" t="n"/>
      <c r="E89" s="94" t="n"/>
      <c r="F89" s="94" t="n"/>
      <c r="G89" s="94" t="n"/>
      <c r="H89" s="94" t="n"/>
      <c r="I89" s="95" t="n"/>
      <c r="J89" s="96" t="n"/>
      <c r="K89" s="97" t="n"/>
      <c r="L89" s="98" t="n"/>
      <c r="M89" s="142" t="n"/>
      <c r="N89" s="142" t="n"/>
      <c r="O89" s="142" t="n"/>
      <c r="P89" s="142" t="n"/>
    </row>
    <row r="90" ht="20" customHeight="1" s="155">
      <c r="A90" s="99" t="inlineStr">
        <is>
          <t>SUMMERING</t>
        </is>
      </c>
      <c r="B90" s="100" t="n"/>
      <c r="C90" s="100" t="n"/>
      <c r="D90" s="100" t="n"/>
      <c r="E90" s="100" t="n"/>
      <c r="F90" s="100" t="n"/>
      <c r="G90" s="100" t="n"/>
      <c r="H90" s="100" t="n"/>
      <c r="I90" s="101" t="n"/>
      <c r="J90" s="102" t="n"/>
      <c r="K90" s="103" t="n"/>
      <c r="L90" s="8" t="n"/>
      <c r="M90" s="142" t="n"/>
      <c r="N90" s="142" t="n"/>
      <c r="O90" s="142" t="n"/>
      <c r="P90" s="142" t="n"/>
    </row>
    <row r="91" ht="29" customHeight="1" s="155">
      <c r="A91" s="104" t="inlineStr">
        <is>
          <t>Summa kostnader (P&amp;L)</t>
        </is>
      </c>
      <c r="B91" s="105">
        <f t="array" ref="B91">SUM(B66,B79,B84,B87)</f>
        <v/>
      </c>
      <c r="C91" s="105">
        <f t="array" ref="C91">SUM(C66,C79,C84,C87)</f>
        <v/>
      </c>
      <c r="D91" s="105">
        <f t="array" ref="D91">SUM(D66,D79,D84,D87)</f>
        <v/>
      </c>
      <c r="E91" s="105">
        <f t="array" ref="E91">SUM(E66,E79,E84,E87)</f>
        <v/>
      </c>
      <c r="F91" s="105">
        <f t="array" ref="F91">SUM(F66,F79,F84,F87)</f>
        <v/>
      </c>
      <c r="G91" s="105">
        <f t="array" ref="G91">SUM(G66,G79,G84,G87)</f>
        <v/>
      </c>
      <c r="H91" s="105">
        <f t="array" ref="H91">SUM(H66,H79,H84,H87)</f>
        <v/>
      </c>
      <c r="I91" s="106">
        <f t="array" ref="I91">SUM(I66,I79,I84,I87)</f>
        <v/>
      </c>
      <c r="J91" s="107">
        <f t="array" ref="J91">SUM(B91:I91)</f>
        <v/>
      </c>
      <c r="K91" s="108" t="inlineStr">
        <is>
          <t>Personal + abonnemang + lokal/drift + avskrivning</t>
        </is>
      </c>
      <c r="L91" s="142" t="n"/>
      <c r="M91" s="142" t="n"/>
      <c r="N91" s="142" t="n"/>
      <c r="O91" s="142" t="n"/>
      <c r="P91" s="142" t="n"/>
    </row>
    <row r="92" ht="20" customHeight="1" s="155">
      <c r="A92" s="104" t="inlineStr">
        <is>
          <t>Resultat före skatt (P&amp;L)</t>
        </is>
      </c>
      <c r="B92" s="105">
        <f t="array" ref="B92">'Hjälptabell'!B2</f>
        <v/>
      </c>
      <c r="C92" s="105">
        <f t="array" ref="C92">'Hjälptabell'!B3</f>
        <v/>
      </c>
      <c r="D92" s="105">
        <f t="array" ref="D92">'Hjälptabell'!B4</f>
        <v/>
      </c>
      <c r="E92" s="105">
        <f t="array" ref="E92">'Hjälptabell'!B5</f>
        <v/>
      </c>
      <c r="F92" s="105">
        <f t="array" ref="F92">'Hjälptabell'!B6</f>
        <v/>
      </c>
      <c r="G92" s="105">
        <f t="array" ref="G92">'Hjälptabell'!B7</f>
        <v/>
      </c>
      <c r="H92" s="105">
        <f t="array" ref="H92">'Hjälptabell'!B8</f>
        <v/>
      </c>
      <c r="I92" s="106">
        <f t="array" ref="I92">'Hjälptabell'!B9</f>
        <v/>
      </c>
      <c r="J92" s="107">
        <f t="array" ref="J92">SUM(B92:I92)</f>
        <v/>
      </c>
      <c r="K92" s="108" t="inlineStr">
        <is>
          <t>Summa intäkter minus summa kostnader</t>
        </is>
      </c>
      <c r="L92" s="142" t="n"/>
      <c r="M92" s="142" t="n"/>
      <c r="N92" s="142" t="n"/>
      <c r="O92" s="142" t="n"/>
      <c r="P92" s="142" t="n"/>
    </row>
    <row r="93" ht="29" customHeight="1" s="155">
      <c r="A93" s="109" t="inlineStr">
        <is>
          <t>Kassaflöde före skatt</t>
        </is>
      </c>
      <c r="B93" s="110">
        <f t="array" ref="B93">'Hjälptabell'!D2</f>
        <v/>
      </c>
      <c r="C93" s="110">
        <f t="array" ref="C93">'Hjälptabell'!D3</f>
        <v/>
      </c>
      <c r="D93" s="110">
        <f t="array" ref="D93">'Hjälptabell'!D4</f>
        <v/>
      </c>
      <c r="E93" s="110">
        <f t="array" ref="E93">'Hjälptabell'!D5</f>
        <v/>
      </c>
      <c r="F93" s="110">
        <f t="array" ref="F93">'Hjälptabell'!D6</f>
        <v/>
      </c>
      <c r="G93" s="110">
        <f t="array" ref="G93">'Hjälptabell'!D7</f>
        <v/>
      </c>
      <c r="H93" s="110">
        <f t="array" ref="H93">'Hjälptabell'!D8</f>
        <v/>
      </c>
      <c r="I93" s="111">
        <f t="array" ref="I93">'Hjälptabell'!D9</f>
        <v/>
      </c>
      <c r="J93" s="112">
        <f t="array" ref="J93">SUM(B93:I93)</f>
        <v/>
      </c>
      <c r="K93" s="113" t="inlineStr">
        <is>
          <t>Resultat före skatt justerat för avskrivning och engångsinvestering</t>
        </is>
      </c>
      <c r="L93" s="142" t="n"/>
      <c r="M93" s="142" t="n"/>
      <c r="N93" s="142" t="n"/>
      <c r="O93" s="142" t="n"/>
      <c r="P93" s="142" t="n"/>
    </row>
    <row r="94" ht="20" customHeight="1" s="155">
      <c r="A94" s="114" t="inlineStr">
        <is>
          <t>Rörelsemarginal (P&amp;L)</t>
        </is>
      </c>
      <c r="B94" s="115">
        <f t="array" ref="B94">IF(B17=0,0,'Hjälptabell'!B2/B17)</f>
        <v/>
      </c>
      <c r="C94" s="115">
        <f t="array" ref="C94">IF(C17=0,0,'Hjälptabell'!B3/C17)</f>
        <v/>
      </c>
      <c r="D94" s="115">
        <f t="array" ref="D94">IF(D17=0,0,'Hjälptabell'!B4/D17)</f>
        <v/>
      </c>
      <c r="E94" s="115">
        <f t="array" ref="E94">IF(E17=0,0,'Hjälptabell'!B5/E17)</f>
        <v/>
      </c>
      <c r="F94" s="115">
        <f t="array" ref="F94">IF(F17=0,0,'Hjälptabell'!B6/F17)</f>
        <v/>
      </c>
      <c r="G94" s="115">
        <f t="array" ref="G94">IF(G17=0,0,'Hjälptabell'!B7/G17)</f>
        <v/>
      </c>
      <c r="H94" s="115">
        <f t="array" ref="H94">IF(H17=0,0,'Hjälptabell'!B8/H17)</f>
        <v/>
      </c>
      <c r="I94" s="115">
        <f t="array" ref="I94">IF(I17=0,0,'Hjälptabell'!B9/I17)</f>
        <v/>
      </c>
      <c r="J94" s="116">
        <f t="array" ref="J94">IF(J17=0,0,J92/J17)</f>
        <v/>
      </c>
      <c r="K94" s="117" t="inlineStr">
        <is>
          <t>Resultat före skatt / summa intäkter</t>
        </is>
      </c>
      <c r="L94" s="142" t="n"/>
      <c r="M94" s="142" t="n"/>
      <c r="N94" s="142" t="n"/>
      <c r="O94" s="142" t="n"/>
      <c r="P94" s="142" t="n"/>
    </row>
    <row r="95" ht="20" customHeight="1" s="155">
      <c r="A95" s="118" t="n"/>
      <c r="B95" s="119" t="n"/>
      <c r="C95" s="119" t="n"/>
      <c r="D95" s="119" t="n"/>
      <c r="E95" s="119" t="n"/>
      <c r="F95" s="119" t="n"/>
      <c r="G95" s="119" t="n"/>
      <c r="H95" s="119" t="n"/>
      <c r="I95" s="120" t="n"/>
      <c r="J95" s="121" t="n"/>
      <c r="K95" s="122" t="n"/>
      <c r="L95" s="142" t="n"/>
      <c r="M95" s="142" t="n"/>
      <c r="N95" s="142" t="n"/>
      <c r="O95" s="142" t="n"/>
      <c r="P95" s="142" t="n"/>
    </row>
    <row r="96" ht="20" customHeight="1" s="155">
      <c r="A96" s="123" t="inlineStr">
        <is>
          <t>RESULTATÖVERSIKT</t>
        </is>
      </c>
      <c r="B96" s="124" t="n"/>
      <c r="C96" s="124" t="n"/>
      <c r="D96" s="124" t="n"/>
      <c r="E96" s="124" t="n"/>
      <c r="F96" s="124" t="n"/>
      <c r="G96" s="124" t="n"/>
      <c r="H96" s="124" t="n"/>
      <c r="I96" s="125" t="n"/>
      <c r="J96" s="121" t="n"/>
      <c r="K96" s="122" t="n"/>
      <c r="L96" s="142" t="n"/>
      <c r="M96" s="142" t="n"/>
      <c r="N96" s="142" t="n"/>
      <c r="O96" s="142" t="n"/>
      <c r="P96" s="142" t="n"/>
    </row>
    <row r="97" ht="16" customHeight="1" s="155">
      <c r="A97" s="126" t="n"/>
      <c r="B97" s="127" t="inlineStr">
        <is>
          <t>Maj</t>
        </is>
      </c>
      <c r="C97" s="127" t="inlineStr">
        <is>
          <t>Juni</t>
        </is>
      </c>
      <c r="D97" s="127" t="inlineStr">
        <is>
          <t>Juli</t>
        </is>
      </c>
      <c r="E97" s="127" t="inlineStr">
        <is>
          <t>Augusti</t>
        </is>
      </c>
      <c r="F97" s="127" t="inlineStr">
        <is>
          <t>September</t>
        </is>
      </c>
      <c r="G97" s="127" t="inlineStr">
        <is>
          <t>Oktober</t>
        </is>
      </c>
      <c r="H97" s="127" t="inlineStr">
        <is>
          <t>November</t>
        </is>
      </c>
      <c r="I97" s="128" t="inlineStr">
        <is>
          <t>December</t>
        </is>
      </c>
      <c r="J97" s="129" t="inlineStr">
        <is>
          <t>Period</t>
        </is>
      </c>
      <c r="K97" s="130" t="inlineStr">
        <is>
          <t>Kommentar</t>
        </is>
      </c>
      <c r="L97" s="14" t="n"/>
      <c r="M97" s="142" t="n"/>
      <c r="N97" s="142" t="n"/>
      <c r="O97" s="142" t="n"/>
      <c r="P97" s="142" t="n"/>
    </row>
    <row r="98" ht="16" customHeight="1" s="155">
      <c r="A98" s="131" t="inlineStr">
        <is>
          <t>Intäkter</t>
        </is>
      </c>
      <c r="B98" s="132">
        <f t="array" ref="B98">B17</f>
        <v/>
      </c>
      <c r="C98" s="132">
        <f t="array" ref="C98">C17</f>
        <v/>
      </c>
      <c r="D98" s="132">
        <f t="array" ref="D98">D17</f>
        <v/>
      </c>
      <c r="E98" s="132">
        <f t="array" ref="E98">E17</f>
        <v/>
      </c>
      <c r="F98" s="132">
        <f t="array" ref="F98">F17</f>
        <v/>
      </c>
      <c r="G98" s="132">
        <f t="array" ref="G98">G17</f>
        <v/>
      </c>
      <c r="H98" s="132">
        <f t="array" ref="H98">H17</f>
        <v/>
      </c>
      <c r="I98" s="133">
        <f t="array" ref="I98">I17</f>
        <v/>
      </c>
      <c r="J98" s="171">
        <f t="array" ref="J98">J17</f>
        <v/>
      </c>
      <c r="K98" s="135" t="inlineStr">
        <is>
          <t>Summa intäkter per månad</t>
        </is>
      </c>
      <c r="L98" s="16" t="n"/>
      <c r="M98" s="8" t="n"/>
      <c r="N98" s="142" t="n"/>
      <c r="O98" s="142" t="n"/>
      <c r="P98" s="142" t="n"/>
    </row>
    <row r="99" ht="16" customHeight="1" s="155">
      <c r="A99" s="136" t="inlineStr">
        <is>
          <t>Kostnader P&amp;L</t>
        </is>
      </c>
      <c r="B99" s="137">
        <f t="array" ref="B99">B91</f>
        <v/>
      </c>
      <c r="C99" s="137">
        <f t="array" ref="C99">C91</f>
        <v/>
      </c>
      <c r="D99" s="137">
        <f t="array" ref="D99">D91</f>
        <v/>
      </c>
      <c r="E99" s="137">
        <f t="array" ref="E99">E91</f>
        <v/>
      </c>
      <c r="F99" s="137">
        <f t="array" ref="F99">F91</f>
        <v/>
      </c>
      <c r="G99" s="137">
        <f t="array" ref="G99">G91</f>
        <v/>
      </c>
      <c r="H99" s="137">
        <f t="array" ref="H99">H91</f>
        <v/>
      </c>
      <c r="I99" s="138">
        <f t="array" ref="I99">I91</f>
        <v/>
      </c>
      <c r="J99" s="139">
        <f t="array" ref="J99">J91</f>
        <v/>
      </c>
      <c r="K99" s="135" t="inlineStr">
        <is>
          <t>Summa kostnader per månad</t>
        </is>
      </c>
      <c r="L99" s="16" t="n"/>
      <c r="M99" s="8" t="n"/>
      <c r="N99" s="142" t="n"/>
      <c r="O99" s="142" t="n"/>
      <c r="P99" s="142" t="n"/>
    </row>
    <row r="100" ht="16" customHeight="1" s="155">
      <c r="A100" s="140" t="inlineStr">
        <is>
          <t>Resultat P&amp;L</t>
        </is>
      </c>
      <c r="B100" s="141">
        <f t="array" ref="B100">'Hjälptabell'!B2</f>
        <v/>
      </c>
      <c r="C100" s="141">
        <f t="array" ref="C100">'Hjälptabell'!B3</f>
        <v/>
      </c>
      <c r="D100" s="141">
        <f t="array" ref="D100">'Hjälptabell'!B4</f>
        <v/>
      </c>
      <c r="E100" s="141">
        <f t="array" ref="E100">'Hjälptabell'!B5</f>
        <v/>
      </c>
      <c r="F100" s="141">
        <f t="array" ref="F100">'Hjälptabell'!B6</f>
        <v/>
      </c>
      <c r="G100" s="141">
        <f t="array" ref="G100">'Hjälptabell'!B7</f>
        <v/>
      </c>
      <c r="H100" s="141">
        <f t="array" ref="H100">'Hjälptabell'!B8</f>
        <v/>
      </c>
      <c r="I100" s="141">
        <f t="array" ref="I100">'Hjälptabell'!B9</f>
        <v/>
      </c>
      <c r="J100" s="142">
        <f t="array" ref="J100">SUM(B100:I100)</f>
        <v/>
      </c>
      <c r="K100" s="135" t="inlineStr">
        <is>
          <t>Plus eller minus per månad</t>
        </is>
      </c>
      <c r="L100" s="16" t="n"/>
      <c r="M100" s="8" t="n"/>
      <c r="N100" s="142" t="n"/>
      <c r="O100" s="142" t="n"/>
      <c r="P100" s="142" t="n"/>
    </row>
    <row r="101" ht="16" customHeight="1" s="155">
      <c r="A101" s="130" t="inlineStr">
        <is>
          <t>Ack. resultat P&amp;L</t>
        </is>
      </c>
      <c r="B101" s="142">
        <f t="array" ref="B101">'Hjälptabell'!C2</f>
        <v/>
      </c>
      <c r="C101" s="142">
        <f t="array" ref="C101">'Hjälptabell'!C3</f>
        <v/>
      </c>
      <c r="D101" s="142">
        <f t="array" ref="D101">'Hjälptabell'!C4</f>
        <v/>
      </c>
      <c r="E101" s="142">
        <f t="array" ref="E101">'Hjälptabell'!C5</f>
        <v/>
      </c>
      <c r="F101" s="142">
        <f t="array" ref="F101">'Hjälptabell'!C6</f>
        <v/>
      </c>
      <c r="G101" s="142">
        <f t="array" ref="G101">'Hjälptabell'!C7</f>
        <v/>
      </c>
      <c r="H101" s="142">
        <f t="array" ref="H101">'Hjälptabell'!C8</f>
        <v/>
      </c>
      <c r="I101" s="142">
        <f t="array" ref="I101">'Hjälptabell'!C9</f>
        <v/>
      </c>
      <c r="J101" s="142">
        <f t="array" ref="J101">'Hjälptabell'!C9</f>
        <v/>
      </c>
      <c r="K101" s="135" t="inlineStr">
        <is>
          <t>Ackumulerat resultat över perioden</t>
        </is>
      </c>
      <c r="L101" s="16" t="n"/>
      <c r="M101" s="8" t="n"/>
      <c r="N101" s="142" t="n"/>
      <c r="O101" s="142" t="n"/>
      <c r="P101" s="142" t="n"/>
    </row>
    <row r="102" ht="16" customHeight="1" s="155">
      <c r="A102" s="130" t="inlineStr">
        <is>
          <t>Kassaflöde</t>
        </is>
      </c>
      <c r="B102" s="142">
        <f t="array" ref="B102">'Hjälptabell'!D2</f>
        <v/>
      </c>
      <c r="C102" s="142">
        <f t="array" ref="C102">'Hjälptabell'!D3</f>
        <v/>
      </c>
      <c r="D102" s="142">
        <f t="array" ref="D102">'Hjälptabell'!D4</f>
        <v/>
      </c>
      <c r="E102" s="142">
        <f t="array" ref="E102">'Hjälptabell'!D5</f>
        <v/>
      </c>
      <c r="F102" s="142">
        <f t="array" ref="F102">'Hjälptabell'!D6</f>
        <v/>
      </c>
      <c r="G102" s="142">
        <f t="array" ref="G102">'Hjälptabell'!D7</f>
        <v/>
      </c>
      <c r="H102" s="142">
        <f t="array" ref="H102">'Hjälptabell'!D8</f>
        <v/>
      </c>
      <c r="I102" s="142">
        <f t="array" ref="I102">'Hjälptabell'!D9</f>
        <v/>
      </c>
      <c r="J102" s="142">
        <f t="array" ref="J102">SUM(B102:I102)</f>
        <v/>
      </c>
      <c r="K102" s="135" t="inlineStr">
        <is>
          <t>Kassaflöde per månad</t>
        </is>
      </c>
      <c r="L102" s="16" t="n"/>
      <c r="M102" s="8" t="n"/>
      <c r="N102" s="142" t="n"/>
      <c r="O102" s="142" t="n"/>
      <c r="P102" s="142" t="n"/>
    </row>
    <row r="103" ht="16" customHeight="1" s="155">
      <c r="A103" s="130" t="inlineStr">
        <is>
          <t>Ack. kassaflöde</t>
        </is>
      </c>
      <c r="B103" s="142">
        <f t="array" ref="B103">'Hjälptabell'!E2</f>
        <v/>
      </c>
      <c r="C103" s="142">
        <f t="array" ref="C103">'Hjälptabell'!E3</f>
        <v/>
      </c>
      <c r="D103" s="142">
        <f t="array" ref="D103">'Hjälptabell'!E4</f>
        <v/>
      </c>
      <c r="E103" s="142">
        <f t="array" ref="E103">'Hjälptabell'!E5</f>
        <v/>
      </c>
      <c r="F103" s="142">
        <f t="array" ref="F103">'Hjälptabell'!E6</f>
        <v/>
      </c>
      <c r="G103" s="142">
        <f t="array" ref="G103">'Hjälptabell'!E7</f>
        <v/>
      </c>
      <c r="H103" s="142">
        <f t="array" ref="H103">'Hjälptabell'!E8</f>
        <v/>
      </c>
      <c r="I103" s="142">
        <f t="array" ref="I103">'Hjälptabell'!E9</f>
        <v/>
      </c>
      <c r="J103" s="142">
        <f t="array" ref="J103">'Hjälptabell'!E9</f>
        <v/>
      </c>
      <c r="K103" s="135" t="inlineStr">
        <is>
          <t>Ackumulerat kassaflöde över perioden</t>
        </is>
      </c>
      <c r="L103" s="16" t="n"/>
      <c r="M103" s="8" t="n"/>
      <c r="N103" s="142" t="n"/>
      <c r="O103" s="142" t="n"/>
      <c r="P103" s="142" t="n"/>
    </row>
    <row r="104" ht="16" customHeight="1" s="155">
      <c r="A104" s="142" t="n"/>
      <c r="B104" s="142" t="n"/>
      <c r="C104" s="142" t="n"/>
      <c r="D104" s="142" t="n"/>
      <c r="E104" s="142" t="n"/>
      <c r="F104" s="142" t="n"/>
      <c r="G104" s="142" t="n"/>
      <c r="H104" s="142" t="n"/>
      <c r="I104" s="142" t="n"/>
      <c r="J104" s="142" t="n"/>
      <c r="K104" s="10" t="n"/>
      <c r="L104" s="16" t="n"/>
      <c r="M104" s="8" t="n"/>
      <c r="N104" s="142" t="n"/>
      <c r="O104" s="142" t="n"/>
      <c r="P104" s="142" t="n"/>
    </row>
    <row r="105" ht="16" customHeight="1" s="155">
      <c r="A105" s="142" t="n"/>
      <c r="B105" s="142" t="n"/>
      <c r="C105" s="142" t="n"/>
      <c r="D105" s="142" t="n"/>
      <c r="E105" s="142" t="n"/>
      <c r="F105" s="142" t="n"/>
      <c r="G105" s="142" t="n"/>
      <c r="H105" s="142" t="n"/>
      <c r="I105" s="142" t="n"/>
      <c r="J105" s="142" t="n"/>
      <c r="K105" s="10" t="n"/>
      <c r="L105" s="16" t="n"/>
      <c r="M105" s="8" t="n"/>
      <c r="N105" s="142" t="n"/>
      <c r="O105" s="142" t="n"/>
      <c r="P105" s="142" t="n"/>
    </row>
    <row r="106" ht="16" customHeight="1" s="155">
      <c r="A106" s="142" t="n"/>
      <c r="B106" s="142" t="n"/>
      <c r="C106" s="142" t="n"/>
      <c r="D106" s="142" t="n"/>
      <c r="E106" s="142" t="n"/>
      <c r="F106" s="142" t="n"/>
      <c r="G106" s="142" t="n"/>
      <c r="H106" s="142" t="n"/>
      <c r="I106" s="142" t="n"/>
      <c r="J106" s="142" t="n"/>
      <c r="K106" s="10" t="n"/>
      <c r="L106" s="16" t="n"/>
      <c r="M106" s="8" t="n"/>
      <c r="N106" s="142" t="n"/>
      <c r="O106" s="142" t="n"/>
      <c r="P106" s="142" t="n"/>
    </row>
    <row r="107" ht="16" customHeight="1" s="155">
      <c r="A107" s="142" t="n"/>
      <c r="B107" s="142" t="n"/>
      <c r="C107" s="142" t="n"/>
      <c r="D107" s="142" t="n"/>
      <c r="E107" s="142" t="n"/>
      <c r="F107" s="142" t="n"/>
      <c r="G107" s="142" t="n"/>
      <c r="H107" s="142" t="n"/>
      <c r="I107" s="142" t="n"/>
      <c r="J107" s="142" t="n"/>
      <c r="K107" s="10" t="n"/>
      <c r="L107" s="16" t="n"/>
      <c r="M107" s="8" t="n"/>
      <c r="N107" s="142" t="n"/>
      <c r="O107" s="142" t="n"/>
      <c r="P107" s="142" t="n"/>
    </row>
    <row r="108" ht="16" customHeight="1" s="155">
      <c r="A108" s="142" t="n"/>
      <c r="B108" s="142" t="n"/>
      <c r="C108" s="142" t="n"/>
      <c r="D108" s="142" t="n"/>
      <c r="E108" s="142" t="n"/>
      <c r="F108" s="142" t="n"/>
      <c r="G108" s="142" t="n"/>
      <c r="H108" s="142" t="n"/>
      <c r="I108" s="142" t="n"/>
      <c r="J108" s="142" t="n"/>
      <c r="K108" s="10" t="n"/>
      <c r="L108" s="16" t="n"/>
      <c r="M108" s="8" t="n"/>
      <c r="N108" s="142" t="n"/>
      <c r="O108" s="142" t="n"/>
      <c r="P108" s="142" t="n"/>
    </row>
    <row r="109" ht="16" customHeight="1" s="155">
      <c r="A109" s="142" t="n"/>
      <c r="B109" s="142" t="n"/>
      <c r="C109" s="142" t="n"/>
      <c r="D109" s="142" t="n"/>
      <c r="E109" s="142" t="n"/>
      <c r="F109" s="142" t="n"/>
      <c r="G109" s="142" t="n"/>
      <c r="H109" s="142" t="n"/>
      <c r="I109" s="142" t="n"/>
      <c r="J109" s="142" t="n"/>
      <c r="K109" s="10" t="n"/>
      <c r="L109" s="16" t="n"/>
      <c r="M109" s="8" t="n"/>
      <c r="N109" s="142" t="n"/>
      <c r="O109" s="142" t="n"/>
      <c r="P109" s="142" t="n"/>
    </row>
    <row r="110" ht="16" customHeight="1" s="155">
      <c r="A110" s="142" t="n"/>
      <c r="B110" s="142" t="n"/>
      <c r="C110" s="142" t="n"/>
      <c r="D110" s="142" t="n"/>
      <c r="E110" s="142" t="n"/>
      <c r="F110" s="142" t="n"/>
      <c r="G110" s="142" t="n"/>
      <c r="H110" s="142" t="n"/>
      <c r="I110" s="142" t="n"/>
      <c r="J110" s="142" t="n"/>
      <c r="K110" s="10" t="n"/>
      <c r="L110" s="16" t="n"/>
      <c r="M110" s="8" t="n"/>
      <c r="N110" s="142" t="n"/>
      <c r="O110" s="142" t="n"/>
      <c r="P110" s="142" t="n"/>
    </row>
    <row r="111" ht="16" customHeight="1" s="155">
      <c r="A111" s="142" t="n"/>
      <c r="B111" s="142" t="n"/>
      <c r="C111" s="142" t="n"/>
      <c r="D111" s="142" t="n"/>
      <c r="E111" s="142" t="n"/>
      <c r="F111" s="142" t="n"/>
      <c r="G111" s="142" t="n"/>
      <c r="H111" s="142" t="n"/>
      <c r="I111" s="142" t="n"/>
      <c r="J111" s="142" t="n"/>
      <c r="K111" s="10" t="n"/>
      <c r="L111" s="16" t="n"/>
      <c r="M111" s="8" t="n"/>
      <c r="N111" s="142" t="n"/>
      <c r="O111" s="142" t="n"/>
      <c r="P111" s="142" t="n"/>
    </row>
    <row r="112" ht="16" customHeight="1" s="155">
      <c r="A112" s="142" t="n"/>
      <c r="B112" s="142" t="n"/>
      <c r="C112" s="142" t="n"/>
      <c r="D112" s="142" t="n"/>
      <c r="E112" s="142" t="n"/>
      <c r="F112" s="142" t="n"/>
      <c r="G112" s="142" t="n"/>
      <c r="H112" s="142" t="n"/>
      <c r="I112" s="142" t="n"/>
      <c r="J112" s="142" t="n"/>
      <c r="K112" s="10" t="n"/>
      <c r="L112" s="16" t="n"/>
      <c r="M112" s="8" t="n"/>
      <c r="N112" s="142" t="n"/>
      <c r="O112" s="142" t="n"/>
      <c r="P112" s="142" t="n"/>
    </row>
    <row r="113" ht="16" customHeight="1" s="155">
      <c r="A113" s="142" t="n"/>
      <c r="B113" s="142" t="n"/>
      <c r="C113" s="142" t="n"/>
      <c r="D113" s="142" t="n"/>
      <c r="E113" s="142" t="n"/>
      <c r="F113" s="142" t="n"/>
      <c r="G113" s="142" t="n"/>
      <c r="H113" s="142" t="n"/>
      <c r="I113" s="142" t="n"/>
      <c r="J113" s="142" t="n"/>
      <c r="K113" s="10" t="n"/>
      <c r="L113" s="16" t="n"/>
      <c r="M113" s="8" t="n"/>
      <c r="N113" s="142" t="n"/>
      <c r="O113" s="142" t="n"/>
      <c r="P113" s="142" t="n"/>
    </row>
    <row r="114" ht="16" customHeight="1" s="155">
      <c r="A114" s="142" t="n"/>
      <c r="B114" s="142" t="n"/>
      <c r="C114" s="142" t="n"/>
      <c r="D114" s="142" t="n"/>
      <c r="E114" s="142" t="n"/>
      <c r="F114" s="142" t="n"/>
      <c r="G114" s="142" t="n"/>
      <c r="H114" s="142" t="n"/>
      <c r="I114" s="142" t="n"/>
      <c r="J114" s="142" t="n"/>
      <c r="K114" s="10" t="n"/>
      <c r="L114" s="16" t="n"/>
      <c r="M114" s="8" t="n"/>
      <c r="N114" s="142" t="n"/>
      <c r="O114" s="142" t="n"/>
      <c r="P114" s="142" t="n"/>
    </row>
    <row r="115" ht="16" customHeight="1" s="155">
      <c r="A115" s="142" t="n"/>
      <c r="B115" s="142" t="n"/>
      <c r="C115" s="142" t="n"/>
      <c r="D115" s="142" t="n"/>
      <c r="E115" s="142" t="n"/>
      <c r="F115" s="142" t="n"/>
      <c r="G115" s="142" t="n"/>
      <c r="H115" s="142" t="n"/>
      <c r="I115" s="142" t="n"/>
      <c r="J115" s="142" t="n"/>
      <c r="K115" s="10" t="n"/>
      <c r="L115" s="16" t="n"/>
      <c r="M115" s="8" t="n"/>
      <c r="N115" s="142" t="n"/>
      <c r="O115" s="142" t="n"/>
      <c r="P115" s="142" t="n"/>
    </row>
    <row r="116" ht="16" customHeight="1" s="155">
      <c r="A116" s="142" t="n"/>
      <c r="B116" s="142" t="n"/>
      <c r="C116" s="142" t="n"/>
      <c r="D116" s="142" t="n"/>
      <c r="E116" s="142" t="n"/>
      <c r="F116" s="142" t="n"/>
      <c r="G116" s="142" t="n"/>
      <c r="H116" s="142" t="n"/>
      <c r="I116" s="142" t="n"/>
      <c r="J116" s="142" t="n"/>
      <c r="K116" s="10" t="n"/>
      <c r="L116" s="16" t="n"/>
      <c r="M116" s="8" t="n"/>
      <c r="N116" s="142" t="n"/>
      <c r="O116" s="142" t="n"/>
      <c r="P116" s="142" t="n"/>
    </row>
    <row r="117" ht="16" customHeight="1" s="155">
      <c r="A117" s="142" t="n"/>
      <c r="B117" s="142" t="n"/>
      <c r="C117" s="142" t="n"/>
      <c r="D117" s="142" t="n"/>
      <c r="E117" s="142" t="n"/>
      <c r="F117" s="142" t="n"/>
      <c r="G117" s="142" t="n"/>
      <c r="H117" s="142" t="n"/>
      <c r="I117" s="142" t="n"/>
      <c r="J117" s="142" t="n"/>
      <c r="K117" s="10" t="n"/>
      <c r="L117" s="16" t="n"/>
      <c r="M117" s="8" t="n"/>
      <c r="N117" s="142" t="n"/>
      <c r="O117" s="142" t="n"/>
      <c r="P117" s="142" t="n"/>
    </row>
    <row r="118" ht="16" customHeight="1" s="155">
      <c r="A118" s="142" t="n"/>
      <c r="B118" s="142" t="n"/>
      <c r="C118" s="142" t="n"/>
      <c r="D118" s="142" t="n"/>
      <c r="E118" s="142" t="n"/>
      <c r="F118" s="142" t="n"/>
      <c r="G118" s="142" t="n"/>
      <c r="H118" s="142" t="n"/>
      <c r="I118" s="142" t="n"/>
      <c r="J118" s="142" t="n"/>
      <c r="K118" s="10" t="n"/>
      <c r="L118" s="16" t="n"/>
      <c r="M118" s="8" t="n"/>
      <c r="N118" s="142" t="n"/>
      <c r="O118" s="142" t="n"/>
      <c r="P118" s="142" t="n"/>
    </row>
    <row r="119" ht="16" customHeight="1" s="155">
      <c r="A119" s="142" t="n"/>
      <c r="B119" s="142" t="n"/>
      <c r="C119" s="142" t="n"/>
      <c r="D119" s="142" t="n"/>
      <c r="E119" s="142" t="n"/>
      <c r="F119" s="142" t="n"/>
      <c r="G119" s="142" t="n"/>
      <c r="H119" s="142" t="n"/>
      <c r="I119" s="142" t="n"/>
      <c r="J119" s="142" t="n"/>
      <c r="K119" s="10" t="n"/>
      <c r="L119" s="16" t="n"/>
      <c r="M119" s="8" t="n"/>
      <c r="N119" s="142" t="n"/>
      <c r="O119" s="142" t="n"/>
      <c r="P119" s="142" t="n"/>
    </row>
    <row r="120" ht="16" customHeight="1" s="155">
      <c r="A120" s="142" t="n"/>
      <c r="B120" s="142" t="n"/>
      <c r="C120" s="142" t="n"/>
      <c r="D120" s="142" t="n"/>
      <c r="E120" s="142" t="n"/>
      <c r="F120" s="142" t="n"/>
      <c r="G120" s="142" t="n"/>
      <c r="H120" s="142" t="n"/>
      <c r="I120" s="142" t="n"/>
      <c r="J120" s="142" t="n"/>
      <c r="K120" s="10" t="n"/>
      <c r="L120" s="16" t="n"/>
      <c r="M120" s="8" t="n"/>
      <c r="N120" s="142" t="n"/>
      <c r="O120" s="142" t="n"/>
      <c r="P120" s="142" t="n"/>
    </row>
    <row r="121" ht="16" customHeight="1" s="155">
      <c r="A121" s="142" t="n"/>
      <c r="B121" s="142" t="n"/>
      <c r="C121" s="142" t="n"/>
      <c r="D121" s="142" t="n"/>
      <c r="E121" s="142" t="n"/>
      <c r="F121" s="142" t="n"/>
      <c r="G121" s="142" t="n"/>
      <c r="H121" s="142" t="n"/>
      <c r="I121" s="142" t="n"/>
      <c r="J121" s="142" t="n"/>
      <c r="K121" s="10" t="n"/>
      <c r="L121" s="16" t="n"/>
      <c r="M121" s="8" t="n"/>
      <c r="N121" s="142" t="n"/>
      <c r="O121" s="142" t="n"/>
      <c r="P121" s="142" t="n"/>
    </row>
    <row r="122" ht="16" customHeight="1" s="155">
      <c r="A122" s="142" t="n"/>
      <c r="B122" s="142" t="n"/>
      <c r="C122" s="142" t="n"/>
      <c r="D122" s="142" t="n"/>
      <c r="E122" s="142" t="n"/>
      <c r="F122" s="142" t="n"/>
      <c r="G122" s="142" t="n"/>
      <c r="H122" s="142" t="n"/>
      <c r="I122" s="142" t="n"/>
      <c r="J122" s="142" t="n"/>
      <c r="K122" s="10" t="n"/>
      <c r="L122" s="16" t="n"/>
      <c r="M122" s="8" t="n"/>
      <c r="N122" s="142" t="n"/>
      <c r="O122" s="142" t="n"/>
      <c r="P122" s="142" t="n"/>
    </row>
    <row r="123" ht="16" customHeight="1" s="155">
      <c r="A123" s="142" t="n"/>
      <c r="B123" s="142" t="n"/>
      <c r="C123" s="142" t="n"/>
      <c r="D123" s="142" t="n"/>
      <c r="E123" s="142" t="n"/>
      <c r="F123" s="142" t="n"/>
      <c r="G123" s="142" t="n"/>
      <c r="H123" s="142" t="n"/>
      <c r="I123" s="142" t="n"/>
      <c r="J123" s="142" t="n"/>
      <c r="K123" s="10" t="n"/>
      <c r="L123" s="16" t="n"/>
      <c r="M123" s="8" t="n"/>
      <c r="N123" s="142" t="n"/>
      <c r="O123" s="142" t="n"/>
      <c r="P123" s="142" t="n"/>
    </row>
    <row r="124" ht="16" customHeight="1" s="155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5" t="n"/>
      <c r="L124" s="16" t="n"/>
      <c r="M124" s="8" t="n"/>
      <c r="N124" s="142" t="n"/>
      <c r="O124" s="142" t="n"/>
      <c r="P124" s="142" t="n"/>
    </row>
    <row r="125" ht="16" customHeight="1" s="155">
      <c r="A125" s="143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8" t="n"/>
      <c r="N125" s="142" t="n"/>
      <c r="O125" s="142" t="n"/>
      <c r="P125" s="142" t="n"/>
    </row>
    <row r="126" ht="16" customHeight="1" s="155">
      <c r="A126" s="143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8" t="n"/>
      <c r="N126" s="142" t="n"/>
      <c r="O126" s="142" t="n"/>
      <c r="P126" s="142" t="n"/>
    </row>
    <row r="127" ht="16" customHeight="1" s="155">
      <c r="A127" s="143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8" t="n"/>
      <c r="N127" s="142" t="n"/>
      <c r="O127" s="142" t="n"/>
      <c r="P127" s="142" t="n"/>
    </row>
    <row r="128" ht="16" customHeight="1" s="155">
      <c r="A128" s="143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8" t="n"/>
      <c r="N128" s="142" t="n"/>
      <c r="O128" s="142" t="n"/>
      <c r="P128" s="142" t="n"/>
    </row>
    <row r="129" ht="16" customHeight="1" s="155">
      <c r="A129" s="144" t="n"/>
      <c r="B129" s="145" t="n"/>
      <c r="C129" s="145" t="n"/>
      <c r="D129" s="145" t="n"/>
      <c r="E129" s="145" t="n"/>
      <c r="F129" s="145" t="n"/>
      <c r="G129" s="145" t="n"/>
      <c r="H129" s="145" t="n"/>
      <c r="I129" s="145" t="n"/>
      <c r="J129" s="145" t="n"/>
      <c r="K129" s="145" t="n"/>
      <c r="L129" s="145" t="n"/>
      <c r="M129" s="8" t="n"/>
      <c r="N129" s="142" t="n"/>
      <c r="O129" s="142" t="n"/>
      <c r="P129" s="142" t="n"/>
    </row>
  </sheetData>
  <mergeCells count="2">
    <mergeCell ref="A2:K2"/>
    <mergeCell ref="A1:K1"/>
  </mergeCells>
  <conditionalFormatting sqref="B56:J57 B84:J87 B92:I93 B98:I99">
    <cfRule type="cellIs" priority="1" operator="lessThan" dxfId="0" stopIfTrue="1">
      <formula>0</formula>
    </cfRule>
  </conditionalFormatting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defaultGridColor="1" workbookViewId="0">
      <selection activeCell="A1" sqref="A1"/>
    </sheetView>
  </sheetViews>
  <sheetFormatPr baseColWidth="8" defaultColWidth="14.5" defaultRowHeight="15" customHeight="1" outlineLevelRow="0"/>
  <cols>
    <col width="34" customWidth="1" style="153" min="1" max="1"/>
    <col width="20" customWidth="1" style="153" min="2" max="2"/>
    <col width="18" customWidth="1" style="153" min="3" max="3"/>
    <col width="42" customWidth="1" style="153" min="4" max="5"/>
    <col width="14.5" customWidth="1" style="153" min="6" max="16384"/>
  </cols>
  <sheetData>
    <row r="1" ht="16" customHeight="1" s="155">
      <c r="A1" s="147" t="inlineStr">
        <is>
          <t>Parameter</t>
        </is>
      </c>
      <c r="B1" s="147" t="inlineStr">
        <is>
          <t>Värde</t>
        </is>
      </c>
      <c r="C1" s="147" t="inlineStr">
        <is>
          <t>Kommentar</t>
        </is>
      </c>
      <c r="D1" s="142" t="n"/>
      <c r="E1" s="142" t="n"/>
    </row>
    <row r="2" ht="16" customHeight="1" s="155">
      <c r="A2" s="130" t="inlineStr">
        <is>
          <t>Teamstorlek</t>
        </is>
      </c>
      <c r="B2" s="142" t="n">
        <v>6</v>
      </c>
      <c r="C2" s="130" t="inlineStr">
        <is>
          <t>Antal heltider</t>
        </is>
      </c>
      <c r="D2" s="142" t="n"/>
      <c r="E2" s="142" t="n"/>
    </row>
    <row r="3" ht="16" customHeight="1" s="155">
      <c r="A3" s="130" t="inlineStr">
        <is>
          <t>Bruttolön_per_månad</t>
        </is>
      </c>
      <c r="B3" s="142" t="n">
        <v>60000</v>
      </c>
      <c r="C3" s="130" t="inlineStr">
        <is>
          <t>kr/mån per person</t>
        </is>
      </c>
      <c r="D3" s="142" t="n"/>
      <c r="E3" s="142" t="n"/>
    </row>
    <row r="4" ht="16" customHeight="1" s="155">
      <c r="A4" s="130" t="inlineStr">
        <is>
          <t>Arbetsgivaravgifts_sats</t>
        </is>
      </c>
      <c r="B4" s="142" t="n">
        <v>0.3142</v>
      </c>
      <c r="C4" s="130" t="inlineStr">
        <is>
          <t>31,42 %</t>
        </is>
      </c>
      <c r="D4" s="142" t="n"/>
      <c r="E4" s="142" t="n"/>
    </row>
    <row r="5" ht="16" customHeight="1" s="155">
      <c r="A5" s="130" t="inlineStr">
        <is>
          <t>Standard_tjänstepensions_sats</t>
        </is>
      </c>
      <c r="B5" s="142" t="n">
        <v>0.06</v>
      </c>
      <c r="C5" s="148" t="inlineStr">
        <is>
          <t>Standard om ingen individuell pensionssats anges</t>
        </is>
      </c>
      <c r="D5" s="142" t="n"/>
      <c r="E5" s="142" t="n"/>
    </row>
    <row r="6" ht="16" customHeight="1" s="155">
      <c r="A6" s="130" t="inlineStr">
        <is>
          <t>Personalförsäkrings_sats</t>
        </is>
      </c>
      <c r="B6" s="142" t="n">
        <v>0.005</v>
      </c>
      <c r="C6" s="130" t="inlineStr">
        <is>
          <t>0,5 % av bruttolön</t>
        </is>
      </c>
      <c r="D6" s="142" t="n"/>
      <c r="E6" s="142" t="n"/>
    </row>
    <row r="7" ht="16" customHeight="1" s="155">
      <c r="A7" s="130" t="inlineStr">
        <is>
          <t>Företagsförsäkring_per_månad</t>
        </is>
      </c>
      <c r="B7" s="142" t="n">
        <v>2000</v>
      </c>
      <c r="C7" s="130" t="inlineStr">
        <is>
          <t>Företagsförsäkring (bas)</t>
        </is>
      </c>
      <c r="D7" s="142" t="n"/>
      <c r="E7" s="142" t="n"/>
    </row>
    <row r="8" ht="16" customHeight="1" s="155">
      <c r="A8" s="130" t="inlineStr">
        <is>
          <t>Mobilabonnemang_per_lina</t>
        </is>
      </c>
      <c r="B8" s="142" t="n">
        <v>250</v>
      </c>
      <c r="C8" s="130" t="inlineStr">
        <is>
          <t>kr/mån</t>
        </is>
      </c>
      <c r="D8" s="142" t="n"/>
      <c r="E8" s="142" t="n"/>
    </row>
    <row r="9" ht="16" customHeight="1" s="155">
      <c r="A9" s="130" t="inlineStr">
        <is>
          <t>Antal_telefonabonnemang</t>
        </is>
      </c>
      <c r="B9" s="142">
        <f t="array" ref="B9">B2</f>
        <v/>
      </c>
      <c r="C9" s="130" t="inlineStr">
        <is>
          <t>Som standard = Teamstorlek</t>
        </is>
      </c>
      <c r="D9" s="142" t="n"/>
      <c r="E9" s="142" t="n"/>
    </row>
    <row r="10" ht="16" customHeight="1" s="155">
      <c r="A10" s="130" t="inlineStr">
        <is>
          <t>Internetabonnemang_kontor</t>
        </is>
      </c>
      <c r="B10" s="142" t="n">
        <v>0</v>
      </c>
      <c r="C10" s="130" t="inlineStr">
        <is>
          <t>kr/mån kontor ingår på The Yard</t>
        </is>
      </c>
      <c r="D10" s="142" t="n"/>
      <c r="E10" s="142" t="n"/>
    </row>
    <row r="11" ht="16" customHeight="1" s="155">
      <c r="A11" s="130" t="inlineStr">
        <is>
          <t>Microsoft_365_per_licens</t>
        </is>
      </c>
      <c r="B11" s="142" t="n">
        <v>100</v>
      </c>
      <c r="C11" s="130" t="inlineStr">
        <is>
          <t>kr/licens/mån</t>
        </is>
      </c>
      <c r="D11" s="142" t="n"/>
      <c r="E11" s="142" t="n"/>
    </row>
    <row r="12" ht="16" customHeight="1" s="155">
      <c r="A12" s="130" t="inlineStr">
        <is>
          <t>Microsoft_365_antal_licenser</t>
        </is>
      </c>
      <c r="B12" s="142">
        <f t="array" ref="B12">B2</f>
        <v/>
      </c>
      <c r="C12" s="130" t="inlineStr">
        <is>
          <t>Som standard = Teamstorlek</t>
        </is>
      </c>
      <c r="D12" s="142" t="n"/>
      <c r="E12" s="142" t="n"/>
    </row>
    <row r="13" ht="16" customHeight="1" s="155">
      <c r="A13" s="130" t="inlineStr">
        <is>
          <t>Adobe_All_Apps_per_licens</t>
        </is>
      </c>
      <c r="B13" s="142" t="n">
        <v>1000</v>
      </c>
      <c r="C13" s="130" t="inlineStr">
        <is>
          <t>kr/licens/mån</t>
        </is>
      </c>
      <c r="D13" s="142" t="n"/>
      <c r="E13" s="142" t="n"/>
    </row>
    <row r="14" ht="16" customHeight="1" s="155">
      <c r="A14" s="130" t="inlineStr">
        <is>
          <t>Adobe_All_Apps_antal_licenser</t>
        </is>
      </c>
      <c r="B14" s="142" t="n">
        <v>2</v>
      </c>
      <c r="C14" s="130" t="inlineStr">
        <is>
          <t>Antal platser initialt</t>
        </is>
      </c>
      <c r="D14" s="142" t="n"/>
      <c r="E14" s="142" t="n"/>
    </row>
    <row r="15" ht="16" customHeight="1" s="155">
      <c r="A15" s="130" t="inlineStr">
        <is>
          <t>E_signering_per_månad</t>
        </is>
      </c>
      <c r="B15" s="142" t="n">
        <v>0</v>
      </c>
      <c r="C15" s="130" t="inlineStr">
        <is>
          <t>Startnivå</t>
        </is>
      </c>
      <c r="D15" s="142" t="n"/>
      <c r="E15" s="142" t="n"/>
    </row>
    <row r="16" ht="16" customHeight="1" s="155">
      <c r="A16" s="130" t="inlineStr">
        <is>
          <t>Bokföring_fakturering_per_månad</t>
        </is>
      </c>
      <c r="B16" s="142" t="n">
        <v>400</v>
      </c>
      <c r="C16" s="130" t="inlineStr">
        <is>
          <t>Startpaket</t>
        </is>
      </c>
      <c r="D16" s="142" t="n"/>
      <c r="E16" s="142" t="n"/>
    </row>
    <row r="17" ht="16" customHeight="1" s="155">
      <c r="A17" s="130" t="inlineStr">
        <is>
          <t>Projektstyrning_per_månad</t>
        </is>
      </c>
      <c r="B17" s="142" t="n">
        <v>0</v>
      </c>
      <c r="C17" s="130" t="inlineStr">
        <is>
          <t>Trello/Notion gratisnivå = 0</t>
        </is>
      </c>
      <c r="D17" s="142" t="n"/>
      <c r="E17" s="142" t="n"/>
    </row>
    <row r="18" ht="16" customHeight="1" s="155">
      <c r="A18" s="130" t="inlineStr">
        <is>
          <t>Förbrukning_kaffe_print_städ_per_månad</t>
        </is>
      </c>
      <c r="B18" s="142" t="n">
        <v>0</v>
      </c>
      <c r="C18" s="130" t="inlineStr">
        <is>
          <t>Miniminivå ingår i The Yard</t>
        </is>
      </c>
      <c r="D18" s="142" t="n"/>
      <c r="E18" s="142" t="n"/>
    </row>
    <row r="19" ht="16" customHeight="1" s="155">
      <c r="A19" s="130" t="inlineStr">
        <is>
          <t>Kontorshyra_per_månad</t>
        </is>
      </c>
      <c r="B19" s="142" t="n">
        <v>15000</v>
      </c>
      <c r="C19" s="130" t="inlineStr">
        <is>
          <t>Hyra kr/mån (ändra här)</t>
        </is>
      </c>
      <c r="D19" s="142" t="n"/>
      <c r="E19" s="142" t="n"/>
    </row>
    <row r="20" ht="16" customHeight="1" s="155">
      <c r="A20" s="130" t="inlineStr">
        <is>
          <t>Laptop_enhetspris</t>
        </is>
      </c>
      <c r="B20" s="142" t="n">
        <v>0</v>
      </c>
      <c r="C20" s="130" t="inlineStr">
        <is>
          <t>kr/st</t>
        </is>
      </c>
      <c r="D20" s="142" t="n"/>
      <c r="E20" s="142" t="n"/>
    </row>
    <row r="21" ht="15.75" customHeight="1" s="155">
      <c r="A21" s="130" t="inlineStr">
        <is>
          <t>Skärm_enhetspris</t>
        </is>
      </c>
      <c r="B21" s="142" t="n">
        <v>0</v>
      </c>
      <c r="C21" s="130" t="inlineStr">
        <is>
          <t>kr/st 27"</t>
        </is>
      </c>
      <c r="D21" s="142" t="n"/>
      <c r="E21" s="142" t="n"/>
    </row>
    <row r="22" ht="15.75" customHeight="1" s="155">
      <c r="A22" s="130" t="inlineStr">
        <is>
          <t>Docka_enhetspris</t>
        </is>
      </c>
      <c r="B22" s="142" t="n">
        <v>0</v>
      </c>
      <c r="C22" s="130" t="inlineStr">
        <is>
          <t>kr/st</t>
        </is>
      </c>
      <c r="D22" s="142" t="n"/>
      <c r="E22" s="142" t="n"/>
    </row>
    <row r="23" ht="15.75" customHeight="1" s="155">
      <c r="A23" s="130" t="inlineStr">
        <is>
          <t>Tangentbord_mus_enhetspris</t>
        </is>
      </c>
      <c r="B23" s="142" t="n">
        <v>0</v>
      </c>
      <c r="C23" s="130" t="inlineStr">
        <is>
          <t>kr/set</t>
        </is>
      </c>
      <c r="D23" s="142" t="n"/>
      <c r="E23" s="142" t="n"/>
    </row>
    <row r="24" ht="15.75" customHeight="1" s="155">
      <c r="A24" s="130" t="inlineStr">
        <is>
          <t>Mobiltelefon_enhetspris</t>
        </is>
      </c>
      <c r="B24" s="142" t="n">
        <v>0</v>
      </c>
      <c r="C24" s="130" t="inlineStr">
        <is>
          <t>kr/st</t>
        </is>
      </c>
      <c r="D24" s="142" t="n"/>
      <c r="E24" s="142" t="n"/>
    </row>
    <row r="25" ht="15.75" customHeight="1" s="155">
      <c r="A25" s="130" t="inlineStr">
        <is>
          <t>Skrivbord_stol_enhetspris</t>
        </is>
      </c>
      <c r="B25" s="142" t="n">
        <v>0</v>
      </c>
      <c r="C25" s="130" t="inlineStr">
        <is>
          <t>kr/pers ingår i The Yard</t>
        </is>
      </c>
      <c r="D25" s="142" t="n"/>
      <c r="E25" s="142" t="n"/>
    </row>
    <row r="26" ht="15.75" customHeight="1" s="155">
      <c r="A26" s="130" t="inlineStr">
        <is>
          <t>Mötesbord_stolar_kostnad</t>
        </is>
      </c>
      <c r="B26" s="142" t="n">
        <v>0</v>
      </c>
      <c r="C26" s="130" t="inlineStr">
        <is>
          <t>Engångskostnad ingår i The Yard</t>
        </is>
      </c>
      <c r="D26" s="142" t="n"/>
      <c r="E26" s="142" t="n"/>
    </row>
    <row r="27" ht="15.75" customHeight="1" s="155">
      <c r="A27" s="130" t="inlineStr">
        <is>
          <t>Skrivare_kostnad</t>
        </is>
      </c>
      <c r="B27" s="142" t="n">
        <v>0</v>
      </c>
      <c r="C27" s="130" t="inlineStr">
        <is>
          <t>Enkel skrivare ingår i The Yard</t>
        </is>
      </c>
      <c r="D27" s="142" t="n"/>
      <c r="E27" s="142" t="n"/>
    </row>
    <row r="28" ht="15.75" customHeight="1" s="155">
      <c r="A28" s="130" t="inlineStr">
        <is>
          <t>Smått_övrigt_kostnad</t>
        </is>
      </c>
      <c r="B28" s="142" t="n">
        <v>0</v>
      </c>
      <c r="C28" s="130" t="inlineStr">
        <is>
          <t>Kablar, grenuttag, kaffebryggare m.m. ingår i The Yard</t>
        </is>
      </c>
      <c r="D28" s="142" t="n"/>
      <c r="E28" s="142" t="n"/>
    </row>
    <row r="29" ht="15.75" customHeight="1" s="155">
      <c r="A29" s="130" t="inlineStr">
        <is>
          <t>Avskrivning_månader</t>
        </is>
      </c>
      <c r="B29" s="142" t="n">
        <v>36</v>
      </c>
      <c r="C29" s="130" t="inlineStr">
        <is>
          <t>Avskrivningstid månader</t>
        </is>
      </c>
      <c r="D29" s="142" t="n"/>
      <c r="E29" s="142" t="n"/>
    </row>
    <row r="30" ht="15.75" customHeight="1" s="155">
      <c r="A30" s="130" t="inlineStr">
        <is>
          <t>Arbetstimmar_per_person_och_månad</t>
        </is>
      </c>
      <c r="B30" s="142" t="n">
        <v>160</v>
      </c>
      <c r="C30" s="130" t="inlineStr">
        <is>
          <t>Timmar per person och månad</t>
        </is>
      </c>
      <c r="D30" s="142" t="n"/>
      <c r="E30" s="142" t="n"/>
    </row>
    <row r="31" ht="15.75" customHeight="1" s="155">
      <c r="A31" s="130" t="inlineStr">
        <is>
          <t>Debiterbar_andel</t>
        </is>
      </c>
      <c r="B31" s="142" t="n">
        <v>0.7</v>
      </c>
      <c r="C31" s="130" t="inlineStr">
        <is>
          <t>Andel debiterbart (t.ex. 0,7)</t>
        </is>
      </c>
      <c r="D31" s="142" t="n"/>
      <c r="E31" s="142" t="n"/>
    </row>
    <row r="32" ht="15.75" customHeight="1" s="155">
      <c r="A32" s="130" t="inlineStr">
        <is>
          <t>Google_Workspace_per_licens</t>
        </is>
      </c>
      <c r="B32" s="142" t="n">
        <v>160</v>
      </c>
      <c r="C32" s="130" t="inlineStr">
        <is>
          <t>kr/licens/mån</t>
        </is>
      </c>
      <c r="D32" s="142" t="n"/>
      <c r="E32" s="142" t="n"/>
    </row>
    <row r="33" ht="15.75" customHeight="1" s="155">
      <c r="A33" s="130" t="inlineStr">
        <is>
          <t>Google_Workspace_antal_licenser</t>
        </is>
      </c>
      <c r="B33" s="142" t="n">
        <v>6</v>
      </c>
      <c r="C33" s="130" t="inlineStr">
        <is>
          <t>Antal platser initialt</t>
        </is>
      </c>
      <c r="D33" s="142" t="n"/>
      <c r="E33" s="142" t="n"/>
    </row>
    <row r="34" ht="15.75" customHeight="1" s="155">
      <c r="A34" s="130" t="inlineStr">
        <is>
          <t>Claude_per_månad</t>
        </is>
      </c>
      <c r="B34" s="142" t="n">
        <v>600</v>
      </c>
      <c r="C34" s="130" t="inlineStr">
        <is>
          <t>Uppskattad kostnad, ändra vid behov</t>
        </is>
      </c>
      <c r="D34" s="142" t="n"/>
      <c r="E34" s="142" t="n"/>
    </row>
    <row r="35" ht="15.75" customHeight="1" s="155">
      <c r="A35" s="130" t="inlineStr">
        <is>
          <t>AI_bildredigering_per_månad</t>
        </is>
      </c>
      <c r="B35" s="142" t="n">
        <v>500</v>
      </c>
      <c r="C35" s="130" t="inlineStr">
        <is>
          <t>Uppskattad kostnad, ändra vid behov</t>
        </is>
      </c>
      <c r="D35" s="142" t="n"/>
      <c r="E35" s="142" t="n"/>
    </row>
    <row r="36" ht="15.75" customHeight="1" s="155">
      <c r="A36" s="130" t="inlineStr">
        <is>
          <t>AI_videoredigering_per_månad</t>
        </is>
      </c>
      <c r="B36" s="142" t="n">
        <v>800</v>
      </c>
      <c r="C36" s="130" t="inlineStr">
        <is>
          <t>Uppskattad kostnad, ändra vid behov</t>
        </is>
      </c>
      <c r="D36" s="142" t="n"/>
      <c r="E36" s="142" t="n"/>
    </row>
    <row r="37" ht="15.75" customHeight="1" s="155">
      <c r="A37" s="130" t="inlineStr">
        <is>
          <t>Wilhelm_bruttolön_per_månad_gammal</t>
        </is>
      </c>
      <c r="B37" s="142" t="n">
        <v>35000</v>
      </c>
      <c r="C37" s="130" t="inlineStr">
        <is>
          <t>Ersatt av personaltabellen nedan</t>
        </is>
      </c>
      <c r="D37" s="142" t="n"/>
      <c r="E37" s="142" t="n"/>
    </row>
    <row r="40">
      <c r="A40" s="172" t="inlineStr">
        <is>
          <t>PERSONAL - grunddata</t>
        </is>
      </c>
      <c r="B40" s="172" t="n"/>
      <c r="C40" s="172" t="n"/>
      <c r="D40" s="172" t="n"/>
    </row>
    <row r="41">
      <c r="A41" s="173" t="inlineStr">
        <is>
          <t>Anställd</t>
        </is>
      </c>
      <c r="B41" s="173" t="inlineStr">
        <is>
          <t>Bruttolön per månad</t>
        </is>
      </c>
      <c r="C41" s="173" t="inlineStr">
        <is>
          <t>Tjänstepension %</t>
        </is>
      </c>
      <c r="D41" s="173" t="inlineStr">
        <is>
          <t>Kommentar</t>
        </is>
      </c>
    </row>
    <row r="42">
      <c r="A42" s="174" t="inlineStr">
        <is>
          <t>Johan Sandersnäs</t>
        </is>
      </c>
      <c r="B42" s="175" t="n">
        <v>60000</v>
      </c>
      <c r="C42" s="176" t="n">
        <v>0.06</v>
      </c>
      <c r="D42" s="174" t="inlineStr">
        <is>
          <t>Styr bruttolön och pension i budgetfliken</t>
        </is>
      </c>
    </row>
    <row r="43">
      <c r="A43" s="174" t="inlineStr">
        <is>
          <t>Anders Rasmusson</t>
        </is>
      </c>
      <c r="B43" s="175" t="n">
        <v>60000</v>
      </c>
      <c r="C43" s="176" t="n">
        <v>0.06</v>
      </c>
      <c r="D43" s="174" t="inlineStr">
        <is>
          <t>Styr bruttolön och pension i budgetfliken</t>
        </is>
      </c>
    </row>
    <row r="44">
      <c r="A44" s="174" t="inlineStr">
        <is>
          <t>David Kremer</t>
        </is>
      </c>
      <c r="B44" s="175" t="n">
        <v>60000</v>
      </c>
      <c r="C44" s="176" t="n">
        <v>0.06</v>
      </c>
      <c r="D44" s="174" t="inlineStr">
        <is>
          <t>Styr bruttolön och pension i budgetfliken</t>
        </is>
      </c>
    </row>
    <row r="45">
      <c r="A45" s="174" t="inlineStr">
        <is>
          <t>Magnus Lindau</t>
        </is>
      </c>
      <c r="B45" s="175" t="n">
        <v>60000</v>
      </c>
      <c r="C45" s="176" t="n">
        <v>0.06</v>
      </c>
      <c r="D45" s="174" t="inlineStr">
        <is>
          <t>Styr bruttolön och pension i budgetfliken</t>
        </is>
      </c>
    </row>
    <row r="46">
      <c r="A46" s="174" t="inlineStr">
        <is>
          <t>Wilhelm Johansson</t>
        </is>
      </c>
      <c r="B46" s="175" t="n">
        <v>35000</v>
      </c>
      <c r="C46" s="176" t="n">
        <v>0.06</v>
      </c>
      <c r="D46" s="174" t="inlineStr">
        <is>
          <t>Styr bruttolön och pension i budgetfliken</t>
        </is>
      </c>
    </row>
    <row r="47">
      <c r="A47" s="174" t="inlineStr">
        <is>
          <t>Ingrid Kraappa</t>
        </is>
      </c>
      <c r="B47" s="175" t="n">
        <v>60000</v>
      </c>
      <c r="C47" s="176" t="n">
        <v>0.06</v>
      </c>
      <c r="D47" s="174" t="inlineStr">
        <is>
          <t>Styr bruttolön och pension i budgetfliken</t>
        </is>
      </c>
    </row>
  </sheetData>
  <dataValidations count="2">
    <dataValidation sqref="B42:B47" showDropDown="0" showInputMessage="0" showErrorMessage="0" allowBlank="0" errorTitle="Ogiltig lön" error="Ange ett lönebelopp som är 0 eller högre." promptTitle="Bruttolön" prompt="Ange bruttolön per månad." type="decimal" operator="greaterThanOrEqual">
      <formula1>0</formula1>
    </dataValidation>
    <dataValidation sqref="C42:C47" showDropDown="0" showInputMessage="0" showErrorMessage="0" allowBlank="0" errorTitle="Ogiltig pensionssats" error="Ange pensionssats som procent, till exempel 6%." promptTitle="Tjänstepension" prompt="Ange procent av bruttolönen som ska gå till pension." type="decimal" operator="between">
      <formula1>0</formula1>
      <formula2>1</formula2>
    </dataValidation>
  </dataValidation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style="155" min="1" max="1"/>
    <col width="12" customWidth="1" style="155" min="2" max="2"/>
    <col width="17" customWidth="1" style="155" min="3" max="3"/>
    <col width="17" customWidth="1" style="155" min="4" max="4"/>
    <col width="18" customWidth="1" style="155" min="5" max="5"/>
    <col width="14" customWidth="1" style="155" min="6" max="6"/>
    <col width="18" customWidth="1" style="155" min="7" max="7"/>
    <col width="45" customWidth="1" style="155" min="8" max="8"/>
  </cols>
  <sheetData>
    <row r="1">
      <c r="A1" s="180" t="inlineStr">
        <is>
          <t>Kassaflöde - inmatningar</t>
        </is>
      </c>
    </row>
    <row r="2"/>
    <row r="3">
      <c r="A3" s="181" t="inlineStr">
        <is>
          <t>Parameter</t>
        </is>
      </c>
      <c r="B3" s="181" t="inlineStr">
        <is>
          <t>Värde</t>
        </is>
      </c>
      <c r="C3" s="181" t="inlineStr">
        <is>
          <t>Kommentar</t>
        </is>
      </c>
    </row>
    <row r="4">
      <c r="A4" s="182" t="inlineStr">
        <is>
          <t>Startkapital</t>
        </is>
      </c>
      <c r="B4" s="183" t="n">
        <v>0</v>
      </c>
      <c r="C4" s="182" t="inlineStr">
        <is>
          <t>Likvida medel vid periodens början</t>
        </is>
      </c>
    </row>
    <row r="5">
      <c r="A5" s="182" t="inlineStr">
        <is>
          <t>Startskuld</t>
        </is>
      </c>
      <c r="B5" s="183" t="n">
        <v>0</v>
      </c>
      <c r="C5" s="182" t="inlineStr">
        <is>
          <t>Skuld vid periodens början, dras från ingående likviditet</t>
        </is>
      </c>
    </row>
    <row r="6">
      <c r="A6" s="182" t="inlineStr">
        <is>
          <t>Moms_sats</t>
        </is>
      </c>
      <c r="B6" s="184" t="n">
        <v>0.25</v>
      </c>
      <c r="C6" s="182" t="inlineStr">
        <is>
          <t>Används för moms på kundfakturor och momspliktiga kostnader</t>
        </is>
      </c>
    </row>
    <row r="7">
      <c r="A7" s="182" t="inlineStr">
        <is>
          <t>Momsredovisning</t>
        </is>
      </c>
      <c r="B7" s="185" t="inlineStr">
        <is>
          <t>Kvartalsvis</t>
        </is>
      </c>
      <c r="C7" s="182" t="inlineStr">
        <is>
          <t>Välj Månadsvis eller Kvartalsvis</t>
        </is>
      </c>
    </row>
    <row r="8">
      <c r="A8" s="182" t="inlineStr">
        <is>
          <t>Arbetsgivaravgift_och_skatt_redovisning</t>
        </is>
      </c>
      <c r="B8" s="185" t="inlineStr">
        <is>
          <t>Månadsvis</t>
        </is>
      </c>
      <c r="C8" s="182" t="inlineStr">
        <is>
          <t>Välj Månadsvis eller Kvartalsvis</t>
        </is>
      </c>
    </row>
    <row r="9">
      <c r="A9" s="182" t="inlineStr">
        <is>
          <t>Förfallodag_skatt_AG</t>
        </is>
      </c>
      <c r="B9" s="185" t="n">
        <v>12</v>
      </c>
      <c r="C9" s="182" t="inlineStr">
        <is>
          <t>Betalningsdag månaden/kvartalet efter löneperioden</t>
        </is>
      </c>
    </row>
    <row r="10">
      <c r="A10" s="182" t="inlineStr">
        <is>
          <t>Fördröjning_skatt_AG_månader</t>
        </is>
      </c>
      <c r="B10" s="185" t="n">
        <v>1</v>
      </c>
      <c r="C10" s="182" t="inlineStr">
        <is>
          <t>Normalt 1 månad efter löneperiod</t>
        </is>
      </c>
    </row>
    <row r="11">
      <c r="A11" s="182" t="inlineStr">
        <is>
          <t>Löneutbetalningsdag</t>
        </is>
      </c>
      <c r="B11" s="185" t="n">
        <v>25</v>
      </c>
      <c r="C11" s="182" t="inlineStr">
        <is>
          <t>Lön betalas den 25:e eller närmast föregående vardag</t>
        </is>
      </c>
    </row>
    <row r="12">
      <c r="A12" s="182" t="inlineStr">
        <is>
          <t>Andel_bruttolön_som_betalas_som_lön</t>
        </is>
      </c>
      <c r="B12" s="184" t="n">
        <v>1</v>
      </c>
      <c r="C12" s="182" t="inlineStr">
        <is>
          <t>1,0 innebär att modellens bruttolön används som kassautbetalning</t>
        </is>
      </c>
    </row>
    <row r="13">
      <c r="A13" s="182" t="inlineStr">
        <is>
          <t>Personal_skatt_%_på_bruttolön</t>
        </is>
      </c>
      <c r="B13" s="184" t="n">
        <v>0</v>
      </c>
      <c r="C13" s="182" t="inlineStr">
        <is>
          <t>Kan användas om personalskatt ska betalas separat utöver arbetsgivaravgift</t>
        </is>
      </c>
    </row>
    <row r="14">
      <c r="A14" s="182" t="inlineStr">
        <is>
          <t>Månadsamortering_startskuld</t>
        </is>
      </c>
      <c r="B14" s="183" t="n">
        <v>0</v>
      </c>
      <c r="C14" s="182" t="inlineStr">
        <is>
          <t>Frivillig amortering på startskuld</t>
        </is>
      </c>
    </row>
    <row r="15"/>
    <row r="16"/>
    <row r="17">
      <c r="A17" s="186" t="inlineStr">
        <is>
          <t>Kundbetalningar</t>
        </is>
      </c>
      <c r="B17" s="187" t="n"/>
      <c r="C17" s="187" t="n"/>
      <c r="D17" s="187" t="n"/>
      <c r="E17" s="187" t="n"/>
      <c r="F17" s="187" t="n"/>
    </row>
    <row r="18">
      <c r="A18" s="188" t="inlineStr">
        <is>
          <t>Kund</t>
        </is>
      </c>
      <c r="B18" s="188" t="inlineStr">
        <is>
          <t>Budgetrad</t>
        </is>
      </c>
      <c r="C18" s="188" t="inlineStr">
        <is>
          <t>Betalningsdagar</t>
        </is>
      </c>
      <c r="D18" s="188" t="inlineStr">
        <is>
          <t>Beräkna från</t>
        </is>
      </c>
      <c r="E18" s="188" t="inlineStr">
        <is>
          <t>Momspliktig</t>
        </is>
      </c>
      <c r="F18" s="188" t="inlineStr">
        <is>
          <t>Kommentar</t>
        </is>
      </c>
    </row>
    <row r="19">
      <c r="A19" s="182" t="inlineStr">
        <is>
          <t>SafeSpring</t>
        </is>
      </c>
      <c r="B19" s="182" t="n">
        <v>6</v>
      </c>
      <c r="C19" s="185" t="n">
        <v>30</v>
      </c>
      <c r="D19" s="185" t="inlineStr">
        <is>
          <t>Månadsslut</t>
        </is>
      </c>
      <c r="E19" s="185" t="inlineStr">
        <is>
          <t>Ja</t>
        </is>
      </c>
      <c r="F19" s="182" t="inlineStr">
        <is>
          <t>Ändra till 60 dagar eller Fakturadatum vid behov</t>
        </is>
      </c>
    </row>
    <row r="20">
      <c r="A20" s="182" t="inlineStr">
        <is>
          <t>Accure</t>
        </is>
      </c>
      <c r="B20" s="182" t="n">
        <v>7</v>
      </c>
      <c r="C20" s="185" t="n">
        <v>30</v>
      </c>
      <c r="D20" s="185" t="inlineStr">
        <is>
          <t>Månadsslut</t>
        </is>
      </c>
      <c r="E20" s="185" t="inlineStr">
        <is>
          <t>Ja</t>
        </is>
      </c>
      <c r="F20" s="182" t="inlineStr">
        <is>
          <t>Ändra till 60 dagar eller Fakturadatum vid behov</t>
        </is>
      </c>
    </row>
    <row r="21">
      <c r="A21" s="182" t="inlineStr">
        <is>
          <t>Team Neusta</t>
        </is>
      </c>
      <c r="B21" s="182" t="n">
        <v>8</v>
      </c>
      <c r="C21" s="185" t="n">
        <v>30</v>
      </c>
      <c r="D21" s="185" t="inlineStr">
        <is>
          <t>Månadsslut</t>
        </is>
      </c>
      <c r="E21" s="185" t="inlineStr">
        <is>
          <t>Ja</t>
        </is>
      </c>
      <c r="F21" s="182" t="inlineStr">
        <is>
          <t>Ändra till 60 dagar eller Fakturadatum vid behov</t>
        </is>
      </c>
    </row>
    <row r="22">
      <c r="A22" s="182" t="inlineStr">
        <is>
          <t>Volvo Energy</t>
        </is>
      </c>
      <c r="B22" s="182" t="n">
        <v>9</v>
      </c>
      <c r="C22" s="185" t="n">
        <v>30</v>
      </c>
      <c r="D22" s="185" t="inlineStr">
        <is>
          <t>Månadsslut</t>
        </is>
      </c>
      <c r="E22" s="185" t="inlineStr">
        <is>
          <t>Ja</t>
        </is>
      </c>
      <c r="F22" s="182" t="inlineStr">
        <is>
          <t>Ändra till 60 dagar eller Fakturadatum vid behov</t>
        </is>
      </c>
    </row>
    <row r="23">
      <c r="A23" s="182" t="inlineStr">
        <is>
          <t>Buddy Energy</t>
        </is>
      </c>
      <c r="B23" s="182" t="n">
        <v>10</v>
      </c>
      <c r="C23" s="185" t="n">
        <v>30</v>
      </c>
      <c r="D23" s="185" t="inlineStr">
        <is>
          <t>Månadsslut</t>
        </is>
      </c>
      <c r="E23" s="185" t="inlineStr">
        <is>
          <t>Ja</t>
        </is>
      </c>
      <c r="F23" s="182" t="inlineStr">
        <is>
          <t>Ändra till 60 dagar eller Fakturadatum vid behov</t>
        </is>
      </c>
    </row>
    <row r="24">
      <c r="A24" s="182" t="inlineStr">
        <is>
          <t>Gausta</t>
        </is>
      </c>
      <c r="B24" s="182" t="n">
        <v>11</v>
      </c>
      <c r="C24" s="185" t="n">
        <v>30</v>
      </c>
      <c r="D24" s="185" t="inlineStr">
        <is>
          <t>Månadsslut</t>
        </is>
      </c>
      <c r="E24" s="185" t="inlineStr">
        <is>
          <t>Ja</t>
        </is>
      </c>
      <c r="F24" s="182" t="inlineStr">
        <is>
          <t>Ändra till 60 dagar eller Fakturadatum vid behov</t>
        </is>
      </c>
    </row>
    <row r="25">
      <c r="A25" s="182" t="inlineStr">
        <is>
          <t>Raoul</t>
        </is>
      </c>
      <c r="B25" s="182" t="n">
        <v>12</v>
      </c>
      <c r="C25" s="185" t="n">
        <v>30</v>
      </c>
      <c r="D25" s="185" t="inlineStr">
        <is>
          <t>Månadsslut</t>
        </is>
      </c>
      <c r="E25" s="185" t="inlineStr">
        <is>
          <t>Ja</t>
        </is>
      </c>
      <c r="F25" s="182" t="inlineStr">
        <is>
          <t>Ändra till 60 dagar eller Fakturadatum vid behov</t>
        </is>
      </c>
    </row>
    <row r="26">
      <c r="A26" s="182" t="inlineStr">
        <is>
          <t>MedChain</t>
        </is>
      </c>
      <c r="B26" s="182" t="n">
        <v>13</v>
      </c>
      <c r="C26" s="185" t="n">
        <v>30</v>
      </c>
      <c r="D26" s="185" t="inlineStr">
        <is>
          <t>Månadsslut</t>
        </is>
      </c>
      <c r="E26" s="185" t="inlineStr">
        <is>
          <t>Ja</t>
        </is>
      </c>
      <c r="F26" s="182" t="inlineStr">
        <is>
          <t>Ändra till 60 dagar eller Fakturadatum vid behov</t>
        </is>
      </c>
    </row>
    <row r="27">
      <c r="A27" s="182" t="inlineStr">
        <is>
          <t>Internetmedicin</t>
        </is>
      </c>
      <c r="B27" s="182" t="n">
        <v>14</v>
      </c>
      <c r="C27" s="185" t="n">
        <v>30</v>
      </c>
      <c r="D27" s="185" t="inlineStr">
        <is>
          <t>Månadsslut</t>
        </is>
      </c>
      <c r="E27" s="185" t="inlineStr">
        <is>
          <t>Ja</t>
        </is>
      </c>
      <c r="F27" s="182" t="inlineStr">
        <is>
          <t>Ändra till 60 dagar eller Fakturadatum vid behov</t>
        </is>
      </c>
    </row>
    <row r="28">
      <c r="A28" s="182" t="inlineStr">
        <is>
          <t>Fragus?</t>
        </is>
      </c>
      <c r="B28" s="182" t="n">
        <v>15</v>
      </c>
      <c r="C28" s="185" t="n">
        <v>30</v>
      </c>
      <c r="D28" s="185" t="inlineStr">
        <is>
          <t>Månadsslut</t>
        </is>
      </c>
      <c r="E28" s="185" t="inlineStr">
        <is>
          <t>Ja</t>
        </is>
      </c>
      <c r="F28" s="182" t="inlineStr">
        <is>
          <t>Ändra till 60 dagar eller Fakturadatum vid behov</t>
        </is>
      </c>
    </row>
    <row r="29">
      <c r="A29" s="182" t="inlineStr">
        <is>
          <t>Obenämnd kund 3</t>
        </is>
      </c>
      <c r="B29" s="182" t="n">
        <v>16</v>
      </c>
      <c r="C29" s="185" t="n">
        <v>30</v>
      </c>
      <c r="D29" s="185" t="inlineStr">
        <is>
          <t>Månadsslut</t>
        </is>
      </c>
      <c r="E29" s="185" t="inlineStr">
        <is>
          <t>Ja</t>
        </is>
      </c>
      <c r="F29" s="182" t="inlineStr">
        <is>
          <t>Ändra till 60 dagar eller Fakturadatum vid behov</t>
        </is>
      </c>
    </row>
    <row r="30"/>
    <row r="31"/>
    <row r="32"/>
    <row r="33">
      <c r="A33" s="186" t="inlineStr">
        <is>
          <t>Kostnader och förfallon</t>
        </is>
      </c>
      <c r="B33" s="187" t="n"/>
      <c r="C33" s="187" t="n"/>
      <c r="D33" s="187" t="n"/>
      <c r="E33" s="187" t="n"/>
      <c r="F33" s="187" t="n"/>
      <c r="G33" s="187" t="n"/>
      <c r="H33" s="187" t="n"/>
    </row>
    <row r="34">
      <c r="A34" s="188" t="inlineStr">
        <is>
          <t>Kostnad</t>
        </is>
      </c>
      <c r="B34" s="188" t="inlineStr">
        <is>
          <t>Budgetrad</t>
        </is>
      </c>
      <c r="C34" s="188" t="inlineStr">
        <is>
          <t>Frekvens</t>
        </is>
      </c>
      <c r="D34" s="188" t="inlineStr">
        <is>
          <t>Förfallodag</t>
        </is>
      </c>
      <c r="E34" s="188" t="inlineStr">
        <is>
          <t>Förfallomånad nr</t>
        </is>
      </c>
      <c r="F34" s="188" t="inlineStr">
        <is>
          <t>Momspliktig</t>
        </is>
      </c>
      <c r="G34" s="188" t="inlineStr">
        <is>
          <t>Belopp från</t>
        </is>
      </c>
      <c r="H34" s="188" t="inlineStr">
        <is>
          <t>Kommentar</t>
        </is>
      </c>
    </row>
    <row r="35">
      <c r="A35" s="182" t="inlineStr">
        <is>
          <t>Adobe Creative Suite</t>
        </is>
      </c>
      <c r="B35" s="182" t="n">
        <v>69</v>
      </c>
      <c r="C35" s="185" t="inlineStr">
        <is>
          <t>Månadsvis</t>
        </is>
      </c>
      <c r="D35" s="185" t="n">
        <v>25</v>
      </c>
      <c r="E35" s="185" t="n">
        <v>5</v>
      </c>
      <c r="F35" s="185" t="inlineStr">
        <is>
          <t>Ja</t>
        </is>
      </c>
      <c r="G35" s="182" t="inlineStr">
        <is>
          <t>Budget maj-dec 2026</t>
        </is>
      </c>
      <c r="H35" s="182" t="inlineStr">
        <is>
          <t>Frekvens styr när budgeterad månadskostnad betalas</t>
        </is>
      </c>
    </row>
    <row r="36">
      <c r="A36" s="182" t="inlineStr">
        <is>
          <t>Google Workspace</t>
        </is>
      </c>
      <c r="B36" s="182" t="n">
        <v>70</v>
      </c>
      <c r="C36" s="185" t="inlineStr">
        <is>
          <t>Månadsvis</t>
        </is>
      </c>
      <c r="D36" s="185" t="n">
        <v>25</v>
      </c>
      <c r="E36" s="185" t="n">
        <v>5</v>
      </c>
      <c r="F36" s="185" t="inlineStr">
        <is>
          <t>Ja</t>
        </is>
      </c>
      <c r="G36" s="182" t="inlineStr">
        <is>
          <t>Budget maj-dec 2026</t>
        </is>
      </c>
      <c r="H36" s="182" t="inlineStr">
        <is>
          <t>Frekvens styr när budgeterad månadskostnad betalas</t>
        </is>
      </c>
    </row>
    <row r="37">
      <c r="A37" s="182" t="inlineStr">
        <is>
          <t>AI bildredigeringsprogram</t>
        </is>
      </c>
      <c r="B37" s="182" t="n">
        <v>71</v>
      </c>
      <c r="C37" s="185" t="inlineStr">
        <is>
          <t>Månadsvis</t>
        </is>
      </c>
      <c r="D37" s="185" t="n">
        <v>25</v>
      </c>
      <c r="E37" s="185" t="n">
        <v>5</v>
      </c>
      <c r="F37" s="185" t="inlineStr">
        <is>
          <t>Ja</t>
        </is>
      </c>
      <c r="G37" s="182" t="inlineStr">
        <is>
          <t>Budget maj-dec 2026</t>
        </is>
      </c>
      <c r="H37" s="182" t="inlineStr">
        <is>
          <t>Frekvens styr när budgeterad månadskostnad betalas</t>
        </is>
      </c>
    </row>
    <row r="38">
      <c r="A38" s="182" t="inlineStr">
        <is>
          <t>AI videoredigeringsprogram</t>
        </is>
      </c>
      <c r="B38" s="182" t="n">
        <v>72</v>
      </c>
      <c r="C38" s="185" t="inlineStr">
        <is>
          <t>Månadsvis</t>
        </is>
      </c>
      <c r="D38" s="185" t="n">
        <v>25</v>
      </c>
      <c r="E38" s="185" t="n">
        <v>5</v>
      </c>
      <c r="F38" s="185" t="inlineStr">
        <is>
          <t>Ja</t>
        </is>
      </c>
      <c r="G38" s="182" t="inlineStr">
        <is>
          <t>Budget maj-dec 2026</t>
        </is>
      </c>
      <c r="H38" s="182" t="inlineStr">
        <is>
          <t>Frekvens styr när budgeterad månadskostnad betalas</t>
        </is>
      </c>
    </row>
    <row r="39">
      <c r="A39" s="182" t="inlineStr">
        <is>
          <t>Företagsförsäkring</t>
        </is>
      </c>
      <c r="B39" s="182" t="n">
        <v>73</v>
      </c>
      <c r="C39" s="185" t="inlineStr">
        <is>
          <t>Årsvis</t>
        </is>
      </c>
      <c r="D39" s="185" t="n">
        <v>31</v>
      </c>
      <c r="E39" s="185" t="n">
        <v>5</v>
      </c>
      <c r="F39" s="185" t="inlineStr">
        <is>
          <t>Nej</t>
        </is>
      </c>
      <c r="G39" s="182" t="inlineStr">
        <is>
          <t>Budget maj-dec 2026</t>
        </is>
      </c>
      <c r="H39" s="182" t="inlineStr">
        <is>
          <t>Frekvens styr när budgeterad månadskostnad betalas</t>
        </is>
      </c>
    </row>
    <row r="40">
      <c r="A40" s="182" t="inlineStr">
        <is>
          <t>Representation</t>
        </is>
      </c>
      <c r="B40" s="182" t="n">
        <v>75</v>
      </c>
      <c r="C40" s="185" t="inlineStr">
        <is>
          <t>Månadsvis</t>
        </is>
      </c>
      <c r="D40" s="185" t="n">
        <v>25</v>
      </c>
      <c r="E40" s="185" t="n">
        <v>5</v>
      </c>
      <c r="F40" s="185" t="inlineStr">
        <is>
          <t>Ja</t>
        </is>
      </c>
      <c r="G40" s="182" t="inlineStr">
        <is>
          <t>Budget maj-dec 2026</t>
        </is>
      </c>
      <c r="H40" s="182" t="inlineStr">
        <is>
          <t>Frekvens styr när budgeterad månadskostnad betalas</t>
        </is>
      </c>
    </row>
    <row r="41">
      <c r="A41" s="182" t="inlineStr">
        <is>
          <t>Telefonabbonemang</t>
        </is>
      </c>
      <c r="B41" s="182" t="n">
        <v>76</v>
      </c>
      <c r="C41" s="185" t="inlineStr">
        <is>
          <t>Månadsvis</t>
        </is>
      </c>
      <c r="D41" s="185" t="n">
        <v>25</v>
      </c>
      <c r="E41" s="185" t="n">
        <v>5</v>
      </c>
      <c r="F41" s="185" t="inlineStr">
        <is>
          <t>Ja</t>
        </is>
      </c>
      <c r="G41" s="182" t="inlineStr">
        <is>
          <t>Budget maj-dec 2026</t>
        </is>
      </c>
      <c r="H41" s="182" t="inlineStr">
        <is>
          <t>Frekvens styr när budgeterad månadskostnad betalas</t>
        </is>
      </c>
    </row>
    <row r="42">
      <c r="A42" s="182" t="inlineStr">
        <is>
          <t>Bokföring/Fakturering</t>
        </is>
      </c>
      <c r="B42" s="182" t="n">
        <v>77</v>
      </c>
      <c r="C42" s="185" t="inlineStr">
        <is>
          <t>Månadsvis</t>
        </is>
      </c>
      <c r="D42" s="185" t="n">
        <v>25</v>
      </c>
      <c r="E42" s="185" t="n">
        <v>5</v>
      </c>
      <c r="F42" s="185" t="inlineStr">
        <is>
          <t>Ja</t>
        </is>
      </c>
      <c r="G42" s="182" t="inlineStr">
        <is>
          <t>Budget maj-dec 2026</t>
        </is>
      </c>
      <c r="H42" s="182" t="inlineStr">
        <is>
          <t>Frekvens styr när budgeterad månadskostnad betalas</t>
        </is>
      </c>
    </row>
    <row r="43">
      <c r="A43" s="182" t="inlineStr">
        <is>
          <t>Projektstyrning</t>
        </is>
      </c>
      <c r="B43" s="182" t="n">
        <v>78</v>
      </c>
      <c r="C43" s="185" t="inlineStr">
        <is>
          <t>Månadsvis</t>
        </is>
      </c>
      <c r="D43" s="185" t="n">
        <v>25</v>
      </c>
      <c r="E43" s="185" t="n">
        <v>5</v>
      </c>
      <c r="F43" s="185" t="inlineStr">
        <is>
          <t>Ja</t>
        </is>
      </c>
      <c r="G43" s="182" t="inlineStr">
        <is>
          <t>Budget maj-dec 2026</t>
        </is>
      </c>
      <c r="H43" s="182" t="inlineStr">
        <is>
          <t>Frekvens styr när budgeterad månadskostnad betalas</t>
        </is>
      </c>
    </row>
    <row r="44">
      <c r="A44" s="182" t="inlineStr">
        <is>
          <t>Kontorshyra</t>
        </is>
      </c>
      <c r="B44" s="182" t="n">
        <v>82</v>
      </c>
      <c r="C44" s="185" t="inlineStr">
        <is>
          <t>Månadsvis</t>
        </is>
      </c>
      <c r="D44" s="185" t="n">
        <v>25</v>
      </c>
      <c r="E44" s="185" t="n">
        <v>5</v>
      </c>
      <c r="F44" s="185" t="inlineStr">
        <is>
          <t>Nej</t>
        </is>
      </c>
      <c r="G44" s="182" t="inlineStr">
        <is>
          <t>Budget maj-dec 2026</t>
        </is>
      </c>
      <c r="H44" s="182" t="inlineStr">
        <is>
          <t>Frekvens styr när budgeterad månadskostnad betalas</t>
        </is>
      </c>
    </row>
    <row r="45">
      <c r="A45" s="182" t="inlineStr">
        <is>
          <t>Förbrukning/kaffe/print/städ</t>
        </is>
      </c>
      <c r="B45" s="182" t="n">
        <v>83</v>
      </c>
      <c r="C45" s="185" t="inlineStr">
        <is>
          <t>Månadsvis</t>
        </is>
      </c>
      <c r="D45" s="185" t="n">
        <v>25</v>
      </c>
      <c r="E45" s="185" t="n">
        <v>5</v>
      </c>
      <c r="F45" s="185" t="inlineStr">
        <is>
          <t>Ja</t>
        </is>
      </c>
      <c r="G45" s="182" t="inlineStr">
        <is>
          <t>Budget maj-dec 2026</t>
        </is>
      </c>
      <c r="H45" s="182" t="inlineStr">
        <is>
          <t>Frekvens styr när budgeterad månadskostnad betalas</t>
        </is>
      </c>
    </row>
    <row r="46">
      <c r="A46" s="182" t="inlineStr">
        <is>
          <t>Engångsinvestering hårdvara</t>
        </is>
      </c>
      <c r="B46" s="182" t="n">
        <v>88</v>
      </c>
      <c r="C46" s="185" t="inlineStr">
        <is>
          <t>Månadsvis</t>
        </is>
      </c>
      <c r="D46" s="185" t="n">
        <v>25</v>
      </c>
      <c r="E46" s="185" t="n">
        <v>5</v>
      </c>
      <c r="F46" s="185" t="inlineStr">
        <is>
          <t>Ja</t>
        </is>
      </c>
      <c r="G46" s="182" t="inlineStr">
        <is>
          <t>Budget maj-dec 2026</t>
        </is>
      </c>
      <c r="H46" s="182" t="inlineStr">
        <is>
          <t>Frekvens styr när budgeterad månadskostnad betalas</t>
        </is>
      </c>
    </row>
  </sheetData>
  <mergeCells count="1">
    <mergeCell ref="A1:H1"/>
  </mergeCells>
  <dataValidations count="5">
    <dataValidation sqref="B7:B8 C35:C46" showDropDown="0" showInputMessage="0" showErrorMessage="0" allowBlank="0" type="list">
      <formula1>"Månadsvis,Kvartalsvis,Halvårsvis,Årsvis"</formula1>
    </dataValidation>
    <dataValidation sqref="E19:E29 F35:F46" showDropDown="0" showInputMessage="0" showErrorMessage="0" allowBlank="0" type="list">
      <formula1>"Ja,Nej"</formula1>
    </dataValidation>
    <dataValidation sqref="D19:D29" showDropDown="0" showInputMessage="0" showErrorMessage="0" allowBlank="0" type="list">
      <formula1>"Månadsslut,Fakturadatum"</formula1>
    </dataValidation>
    <dataValidation sqref="E35:E46" showDropDown="0" showInputMessage="0" showErrorMessage="0" allowBlank="0" type="whole" operator="between">
      <formula1>1</formula1>
      <formula2>12</formula2>
    </dataValidation>
    <dataValidation sqref="D35:D46" showDropDown="0" showInputMessage="0" showErrorMessage="0" allowBlank="0" type="whole" operator="between">
      <formula1>1</formula1>
      <formula2>31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style="155" min="1" max="1"/>
    <col width="15" customWidth="1" style="155" min="2" max="2"/>
    <col width="15" customWidth="1" style="155" min="3" max="3"/>
    <col width="15" customWidth="1" style="155" min="4" max="4"/>
    <col width="15" customWidth="1" style="155" min="5" max="5"/>
    <col width="15" customWidth="1" style="155" min="6" max="6"/>
    <col width="15" customWidth="1" style="155" min="7" max="7"/>
    <col width="15" customWidth="1" style="155" min="8" max="8"/>
    <col width="15" customWidth="1" style="155" min="9" max="9"/>
  </cols>
  <sheetData>
    <row r="1">
      <c r="A1" s="189" t="inlineStr">
        <is>
          <t>Kassaflöde och likviditet</t>
        </is>
      </c>
    </row>
    <row r="3">
      <c r="B3" s="190" t="n">
        <v>46143</v>
      </c>
      <c r="C3" s="190" t="n">
        <v>46174</v>
      </c>
      <c r="D3" s="190" t="n">
        <v>46204</v>
      </c>
      <c r="E3" s="190" t="n">
        <v>46235</v>
      </c>
      <c r="F3" s="190" t="n">
        <v>46266</v>
      </c>
      <c r="G3" s="190" t="n">
        <v>46296</v>
      </c>
      <c r="H3" s="190" t="n">
        <v>46327</v>
      </c>
      <c r="I3" s="190" t="n">
        <v>46357</v>
      </c>
    </row>
    <row r="5">
      <c r="A5" s="191" t="inlineStr">
        <is>
          <t>Ingående likviditet</t>
        </is>
      </c>
      <c r="B5" s="192">
        <f>'Kassaflöde inmatning'!$B$4-'Kassaflöde inmatning'!$B$5</f>
        <v/>
      </c>
      <c r="C5" s="192">
        <f>B20</f>
        <v/>
      </c>
      <c r="D5" s="192">
        <f>C20</f>
        <v/>
      </c>
      <c r="E5" s="192">
        <f>D20</f>
        <v/>
      </c>
      <c r="F5" s="192">
        <f>E20</f>
        <v/>
      </c>
      <c r="G5" s="192">
        <f>F20</f>
        <v/>
      </c>
      <c r="H5" s="192">
        <f>G20</f>
        <v/>
      </c>
      <c r="I5" s="192">
        <f>H20</f>
        <v/>
      </c>
    </row>
    <row r="6">
      <c r="A6" s="193" t="n"/>
      <c r="B6" s="194" t="n"/>
      <c r="C6" s="194" t="n"/>
      <c r="D6" s="194" t="n"/>
      <c r="E6" s="194" t="n"/>
      <c r="F6" s="194" t="n"/>
      <c r="G6" s="194" t="n"/>
      <c r="H6" s="194" t="n"/>
      <c r="I6" s="194" t="n"/>
    </row>
    <row r="7">
      <c r="A7" s="195" t="inlineStr">
        <is>
          <t>Kundinbetalningar exkl. moms</t>
        </is>
      </c>
      <c r="B7" s="194">
        <f>SUMIFS('Kassaflöde beräkning'!$C$4:$C$91,'Kassaflöde beräkning'!$H$4:$H$91,B$3)</f>
        <v/>
      </c>
      <c r="C7" s="194">
        <f>SUMIFS('Kassaflöde beräkning'!$C$4:$C$91,'Kassaflöde beräkning'!$H$4:$H$91,C$3)</f>
        <v/>
      </c>
      <c r="D7" s="194">
        <f>SUMIFS('Kassaflöde beräkning'!$C$4:$C$91,'Kassaflöde beräkning'!$H$4:$H$91,D$3)</f>
        <v/>
      </c>
      <c r="E7" s="194">
        <f>SUMIFS('Kassaflöde beräkning'!$C$4:$C$91,'Kassaflöde beräkning'!$H$4:$H$91,E$3)</f>
        <v/>
      </c>
      <c r="F7" s="194">
        <f>SUMIFS('Kassaflöde beräkning'!$C$4:$C$91,'Kassaflöde beräkning'!$H$4:$H$91,F$3)</f>
        <v/>
      </c>
      <c r="G7" s="194">
        <f>SUMIFS('Kassaflöde beräkning'!$C$4:$C$91,'Kassaflöde beräkning'!$H$4:$H$91,G$3)</f>
        <v/>
      </c>
      <c r="H7" s="194">
        <f>SUMIFS('Kassaflöde beräkning'!$C$4:$C$91,'Kassaflöde beräkning'!$H$4:$H$91,H$3)</f>
        <v/>
      </c>
      <c r="I7" s="194">
        <f>SUMIFS('Kassaflöde beräkning'!$C$4:$C$91,'Kassaflöde beräkning'!$H$4:$H$91,I$3)</f>
        <v/>
      </c>
    </row>
    <row r="8">
      <c r="A8" s="195" t="inlineStr">
        <is>
          <t>Moms från kundinbetalningar</t>
        </is>
      </c>
      <c r="B8" s="194">
        <f>SUMIFS('Kassaflöde beräkning'!$D$4:$D$91,'Kassaflöde beräkning'!$H$4:$H$91,B$3)</f>
        <v/>
      </c>
      <c r="C8" s="194">
        <f>SUMIFS('Kassaflöde beräkning'!$D$4:$D$91,'Kassaflöde beräkning'!$H$4:$H$91,C$3)</f>
        <v/>
      </c>
      <c r="D8" s="194">
        <f>SUMIFS('Kassaflöde beräkning'!$D$4:$D$91,'Kassaflöde beräkning'!$H$4:$H$91,D$3)</f>
        <v/>
      </c>
      <c r="E8" s="194">
        <f>SUMIFS('Kassaflöde beräkning'!$D$4:$D$91,'Kassaflöde beräkning'!$H$4:$H$91,E$3)</f>
        <v/>
      </c>
      <c r="F8" s="194">
        <f>SUMIFS('Kassaflöde beräkning'!$D$4:$D$91,'Kassaflöde beräkning'!$H$4:$H$91,F$3)</f>
        <v/>
      </c>
      <c r="G8" s="194">
        <f>SUMIFS('Kassaflöde beräkning'!$D$4:$D$91,'Kassaflöde beräkning'!$H$4:$H$91,G$3)</f>
        <v/>
      </c>
      <c r="H8" s="194">
        <f>SUMIFS('Kassaflöde beräkning'!$D$4:$D$91,'Kassaflöde beräkning'!$H$4:$H$91,H$3)</f>
        <v/>
      </c>
      <c r="I8" s="194">
        <f>SUMIFS('Kassaflöde beräkning'!$D$4:$D$91,'Kassaflöde beräkning'!$H$4:$H$91,I$3)</f>
        <v/>
      </c>
    </row>
    <row r="9">
      <c r="A9" s="191" t="inlineStr">
        <is>
          <t>Kundinbetalningar inkl. moms</t>
        </is>
      </c>
      <c r="B9" s="192">
        <f>SUM(B7:B8)</f>
        <v/>
      </c>
      <c r="C9" s="192">
        <f>SUM(C7:C8)</f>
        <v/>
      </c>
      <c r="D9" s="192">
        <f>SUM(D7:D8)</f>
        <v/>
      </c>
      <c r="E9" s="192">
        <f>SUM(E7:E8)</f>
        <v/>
      </c>
      <c r="F9" s="192">
        <f>SUM(F7:F8)</f>
        <v/>
      </c>
      <c r="G9" s="192">
        <f>SUM(G7:G8)</f>
        <v/>
      </c>
      <c r="H9" s="192">
        <f>SUM(H7:H8)</f>
        <v/>
      </c>
      <c r="I9" s="192">
        <f>SUM(I7:I8)</f>
        <v/>
      </c>
    </row>
    <row r="10">
      <c r="A10" s="193" t="n"/>
      <c r="B10" s="194" t="n"/>
      <c r="C10" s="194" t="n"/>
      <c r="D10" s="194" t="n"/>
      <c r="E10" s="194" t="n"/>
      <c r="F10" s="194" t="n"/>
      <c r="G10" s="194" t="n"/>
      <c r="H10" s="194" t="n"/>
      <c r="I10" s="194" t="n"/>
    </row>
    <row r="11">
      <c r="A11" s="195" t="inlineStr">
        <is>
          <t>Löneutbetalningar</t>
        </is>
      </c>
      <c r="B11" s="194">
        <f>SUMIFS('Kassaflöde beräkning'!$C$194:$C$209,'Kassaflöde beräkning'!$A$194:$A$209,"Lön",'Kassaflöde beräkning'!$E$194:$E$209,B$3)</f>
        <v/>
      </c>
      <c r="C11" s="194">
        <f>SUMIFS('Kassaflöde beräkning'!$C$194:$C$209,'Kassaflöde beräkning'!$A$194:$A$209,"Lön",'Kassaflöde beräkning'!$E$194:$E$209,C$3)</f>
        <v/>
      </c>
      <c r="D11" s="194">
        <f>SUMIFS('Kassaflöde beräkning'!$C$194:$C$209,'Kassaflöde beräkning'!$A$194:$A$209,"Lön",'Kassaflöde beräkning'!$E$194:$E$209,D$3)</f>
        <v/>
      </c>
      <c r="E11" s="194">
        <f>SUMIFS('Kassaflöde beräkning'!$C$194:$C$209,'Kassaflöde beräkning'!$A$194:$A$209,"Lön",'Kassaflöde beräkning'!$E$194:$E$209,E$3)</f>
        <v/>
      </c>
      <c r="F11" s="194">
        <f>SUMIFS('Kassaflöde beräkning'!$C$194:$C$209,'Kassaflöde beräkning'!$A$194:$A$209,"Lön",'Kassaflöde beräkning'!$E$194:$E$209,F$3)</f>
        <v/>
      </c>
      <c r="G11" s="194">
        <f>SUMIFS('Kassaflöde beräkning'!$C$194:$C$209,'Kassaflöde beräkning'!$A$194:$A$209,"Lön",'Kassaflöde beräkning'!$E$194:$E$209,G$3)</f>
        <v/>
      </c>
      <c r="H11" s="194">
        <f>SUMIFS('Kassaflöde beräkning'!$C$194:$C$209,'Kassaflöde beräkning'!$A$194:$A$209,"Lön",'Kassaflöde beräkning'!$E$194:$E$209,H$3)</f>
        <v/>
      </c>
      <c r="I11" s="194">
        <f>SUMIFS('Kassaflöde beräkning'!$C$194:$C$209,'Kassaflöde beräkning'!$A$194:$A$209,"Lön",'Kassaflöde beräkning'!$E$194:$E$209,I$3)</f>
        <v/>
      </c>
    </row>
    <row r="12">
      <c r="A12" s="195" t="inlineStr">
        <is>
          <t>Leverantörsbetalningar exkl. moms</t>
        </is>
      </c>
      <c r="B12" s="194">
        <f>SUMIFS('Kassaflöde beräkning'!$C$95:$C$190,'Kassaflöde beräkning'!$I$95:$I$190,B$3)</f>
        <v/>
      </c>
      <c r="C12" s="194">
        <f>SUMIFS('Kassaflöde beräkning'!$C$95:$C$190,'Kassaflöde beräkning'!$I$95:$I$190,C$3)</f>
        <v/>
      </c>
      <c r="D12" s="194">
        <f>SUMIFS('Kassaflöde beräkning'!$C$95:$C$190,'Kassaflöde beräkning'!$I$95:$I$190,D$3)</f>
        <v/>
      </c>
      <c r="E12" s="194">
        <f>SUMIFS('Kassaflöde beräkning'!$C$95:$C$190,'Kassaflöde beräkning'!$I$95:$I$190,E$3)</f>
        <v/>
      </c>
      <c r="F12" s="194">
        <f>SUMIFS('Kassaflöde beräkning'!$C$95:$C$190,'Kassaflöde beräkning'!$I$95:$I$190,F$3)</f>
        <v/>
      </c>
      <c r="G12" s="194">
        <f>SUMIFS('Kassaflöde beräkning'!$C$95:$C$190,'Kassaflöde beräkning'!$I$95:$I$190,G$3)</f>
        <v/>
      </c>
      <c r="H12" s="194">
        <f>SUMIFS('Kassaflöde beräkning'!$C$95:$C$190,'Kassaflöde beräkning'!$I$95:$I$190,H$3)</f>
        <v/>
      </c>
      <c r="I12" s="194">
        <f>SUMIFS('Kassaflöde beräkning'!$C$95:$C$190,'Kassaflöde beräkning'!$I$95:$I$190,I$3)</f>
        <v/>
      </c>
    </row>
    <row r="13">
      <c r="A13" s="195" t="inlineStr">
        <is>
          <t>Moms på leverantörsbetalningar</t>
        </is>
      </c>
      <c r="B13" s="194">
        <f>SUMIFS('Kassaflöde beräkning'!$D$95:$D$190,'Kassaflöde beräkning'!$I$95:$I$190,B$3)</f>
        <v/>
      </c>
      <c r="C13" s="194">
        <f>SUMIFS('Kassaflöde beräkning'!$D$95:$D$190,'Kassaflöde beräkning'!$I$95:$I$190,C$3)</f>
        <v/>
      </c>
      <c r="D13" s="194">
        <f>SUMIFS('Kassaflöde beräkning'!$D$95:$D$190,'Kassaflöde beräkning'!$I$95:$I$190,D$3)</f>
        <v/>
      </c>
      <c r="E13" s="194">
        <f>SUMIFS('Kassaflöde beräkning'!$D$95:$D$190,'Kassaflöde beräkning'!$I$95:$I$190,E$3)</f>
        <v/>
      </c>
      <c r="F13" s="194">
        <f>SUMIFS('Kassaflöde beräkning'!$D$95:$D$190,'Kassaflöde beräkning'!$I$95:$I$190,F$3)</f>
        <v/>
      </c>
      <c r="G13" s="194">
        <f>SUMIFS('Kassaflöde beräkning'!$D$95:$D$190,'Kassaflöde beräkning'!$I$95:$I$190,G$3)</f>
        <v/>
      </c>
      <c r="H13" s="194">
        <f>SUMIFS('Kassaflöde beräkning'!$D$95:$D$190,'Kassaflöde beräkning'!$I$95:$I$190,H$3)</f>
        <v/>
      </c>
      <c r="I13" s="194">
        <f>SUMIFS('Kassaflöde beräkning'!$D$95:$D$190,'Kassaflöde beräkning'!$I$95:$I$190,I$3)</f>
        <v/>
      </c>
    </row>
    <row r="14">
      <c r="A14" s="195" t="inlineStr">
        <is>
          <t>Skatter och arbetsgivaravgifter</t>
        </is>
      </c>
      <c r="B14" s="194">
        <f>SUMIFS('Kassaflöde beräkning'!$C$194:$C$209,'Kassaflöde beräkning'!$A$194:$A$209,"Skatt och AG",'Kassaflöde beräkning'!$E$194:$E$209,B$3)</f>
        <v/>
      </c>
      <c r="C14" s="194">
        <f>SUMIFS('Kassaflöde beräkning'!$C$194:$C$209,'Kassaflöde beräkning'!$A$194:$A$209,"Skatt och AG",'Kassaflöde beräkning'!$E$194:$E$209,C$3)</f>
        <v/>
      </c>
      <c r="D14" s="194">
        <f>SUMIFS('Kassaflöde beräkning'!$C$194:$C$209,'Kassaflöde beräkning'!$A$194:$A$209,"Skatt och AG",'Kassaflöde beräkning'!$E$194:$E$209,D$3)</f>
        <v/>
      </c>
      <c r="E14" s="194">
        <f>SUMIFS('Kassaflöde beräkning'!$C$194:$C$209,'Kassaflöde beräkning'!$A$194:$A$209,"Skatt och AG",'Kassaflöde beräkning'!$E$194:$E$209,E$3)</f>
        <v/>
      </c>
      <c r="F14" s="194">
        <f>SUMIFS('Kassaflöde beräkning'!$C$194:$C$209,'Kassaflöde beräkning'!$A$194:$A$209,"Skatt och AG",'Kassaflöde beräkning'!$E$194:$E$209,F$3)</f>
        <v/>
      </c>
      <c r="G14" s="194">
        <f>SUMIFS('Kassaflöde beräkning'!$C$194:$C$209,'Kassaflöde beräkning'!$A$194:$A$209,"Skatt och AG",'Kassaflöde beräkning'!$E$194:$E$209,G$3)</f>
        <v/>
      </c>
      <c r="H14" s="194">
        <f>SUMIFS('Kassaflöde beräkning'!$C$194:$C$209,'Kassaflöde beräkning'!$A$194:$A$209,"Skatt och AG",'Kassaflöde beräkning'!$E$194:$E$209,H$3)</f>
        <v/>
      </c>
      <c r="I14" s="194">
        <f>SUMIFS('Kassaflöde beräkning'!$C$194:$C$209,'Kassaflöde beräkning'!$A$194:$A$209,"Skatt och AG",'Kassaflöde beräkning'!$E$194:$E$209,I$3)</f>
        <v/>
      </c>
    </row>
    <row r="15">
      <c r="A15" s="195" t="inlineStr">
        <is>
          <t>Momsbetalning</t>
        </is>
      </c>
      <c r="B15" s="194">
        <f>IF('Kassaflöde inmatning'!$B$7="Månadsvis",0,0)</f>
        <v/>
      </c>
      <c r="C15" s="194">
        <f>IF('Kassaflöde inmatning'!$B$7="Månadsvis",B22,IF(MONTH(C$3)=7,SUM(B22:C22),IF(MONTH(C$3)=10,SUM(D22:F22),0)))</f>
        <v/>
      </c>
      <c r="D15" s="194">
        <f>IF('Kassaflöde inmatning'!$B$7="Månadsvis",C22,IF(MONTH(D$3)=7,SUM(B22:C22),IF(MONTH(D$3)=10,SUM(D22:F22),0)))</f>
        <v/>
      </c>
      <c r="E15" s="194">
        <f>IF('Kassaflöde inmatning'!$B$7="Månadsvis",D22,IF(MONTH(E$3)=7,SUM(B22:C22),IF(MONTH(E$3)=10,SUM(D22:F22),0)))</f>
        <v/>
      </c>
      <c r="F15" s="194">
        <f>IF('Kassaflöde inmatning'!$B$7="Månadsvis",E22,IF(MONTH(F$3)=7,SUM(B22:C22),IF(MONTH(F$3)=10,SUM(D22:F22),0)))</f>
        <v/>
      </c>
      <c r="G15" s="194">
        <f>IF('Kassaflöde inmatning'!$B$7="Månadsvis",F22,IF(MONTH(G$3)=7,SUM(B22:C22),IF(MONTH(G$3)=10,SUM(D22:F22),0)))</f>
        <v/>
      </c>
      <c r="H15" s="194">
        <f>IF('Kassaflöde inmatning'!$B$7="Månadsvis",G22,IF(MONTH(H$3)=7,SUM(B22:C22),IF(MONTH(H$3)=10,SUM(D22:F22),0)))</f>
        <v/>
      </c>
      <c r="I15" s="194">
        <f>IF('Kassaflöde inmatning'!$B$7="Månadsvis",H22,IF(MONTH(I$3)=7,SUM(B22:C22),IF(MONTH(I$3)=10,SUM(D22:F22),0)))</f>
        <v/>
      </c>
    </row>
    <row r="16">
      <c r="A16" s="195" t="inlineStr">
        <is>
          <t>Amortering startskuld</t>
        </is>
      </c>
      <c r="B16" s="194">
        <f>'Kassaflöde inmatning'!$B$14</f>
        <v/>
      </c>
      <c r="C16" s="194">
        <f>'Kassaflöde inmatning'!$B$14</f>
        <v/>
      </c>
      <c r="D16" s="194">
        <f>'Kassaflöde inmatning'!$B$14</f>
        <v/>
      </c>
      <c r="E16" s="194">
        <f>'Kassaflöde inmatning'!$B$14</f>
        <v/>
      </c>
      <c r="F16" s="194">
        <f>'Kassaflöde inmatning'!$B$14</f>
        <v/>
      </c>
      <c r="G16" s="194">
        <f>'Kassaflöde inmatning'!$B$14</f>
        <v/>
      </c>
      <c r="H16" s="194">
        <f>'Kassaflöde inmatning'!$B$14</f>
        <v/>
      </c>
      <c r="I16" s="194">
        <f>'Kassaflöde inmatning'!$B$14</f>
        <v/>
      </c>
    </row>
    <row r="17">
      <c r="A17" s="191" t="inlineStr">
        <is>
          <t>Summa utbetalningar</t>
        </is>
      </c>
      <c r="B17" s="192">
        <f>SUM(B11:B16)</f>
        <v/>
      </c>
      <c r="C17" s="192">
        <f>SUM(C11:C16)</f>
        <v/>
      </c>
      <c r="D17" s="192">
        <f>SUM(D11:D16)</f>
        <v/>
      </c>
      <c r="E17" s="192">
        <f>SUM(E11:E16)</f>
        <v/>
      </c>
      <c r="F17" s="192">
        <f>SUM(F11:F16)</f>
        <v/>
      </c>
      <c r="G17" s="192">
        <f>SUM(G11:G16)</f>
        <v/>
      </c>
      <c r="H17" s="192">
        <f>SUM(H11:H16)</f>
        <v/>
      </c>
      <c r="I17" s="192">
        <f>SUM(I11:I16)</f>
        <v/>
      </c>
    </row>
    <row r="18">
      <c r="A18" s="193" t="n"/>
      <c r="B18" s="194" t="n"/>
      <c r="C18" s="194" t="n"/>
      <c r="D18" s="194" t="n"/>
      <c r="E18" s="194" t="n"/>
      <c r="F18" s="194" t="n"/>
      <c r="G18" s="194" t="n"/>
      <c r="H18" s="194" t="n"/>
      <c r="I18" s="194" t="n"/>
    </row>
    <row r="19">
      <c r="A19" s="191" t="inlineStr">
        <is>
          <t>Månadens kassaflöde</t>
        </is>
      </c>
      <c r="B19" s="192">
        <f>B9-B17</f>
        <v/>
      </c>
      <c r="C19" s="192">
        <f>C9-C17</f>
        <v/>
      </c>
      <c r="D19" s="192">
        <f>D9-D17</f>
        <v/>
      </c>
      <c r="E19" s="192">
        <f>E9-E17</f>
        <v/>
      </c>
      <c r="F19" s="192">
        <f>F9-F17</f>
        <v/>
      </c>
      <c r="G19" s="192">
        <f>G9-G17</f>
        <v/>
      </c>
      <c r="H19" s="192">
        <f>H9-H17</f>
        <v/>
      </c>
      <c r="I19" s="192">
        <f>I9-I17</f>
        <v/>
      </c>
    </row>
    <row r="20">
      <c r="A20" s="196" t="inlineStr">
        <is>
          <t>Utgående likviditet</t>
        </is>
      </c>
      <c r="B20" s="197">
        <f>B5+B19</f>
        <v/>
      </c>
      <c r="C20" s="197">
        <f>C5+C19</f>
        <v/>
      </c>
      <c r="D20" s="197">
        <f>D5+D19</f>
        <v/>
      </c>
      <c r="E20" s="197">
        <f>E5+E19</f>
        <v/>
      </c>
      <c r="F20" s="197">
        <f>F5+F19</f>
        <v/>
      </c>
      <c r="G20" s="197">
        <f>G5+G19</f>
        <v/>
      </c>
      <c r="H20" s="197">
        <f>H5+H19</f>
        <v/>
      </c>
      <c r="I20" s="197">
        <f>I5+I19</f>
        <v/>
      </c>
    </row>
    <row r="21">
      <c r="A21" s="193" t="n"/>
      <c r="B21" s="194" t="n"/>
      <c r="C21" s="194" t="n"/>
      <c r="D21" s="194" t="n"/>
      <c r="E21" s="194" t="n"/>
      <c r="F21" s="194" t="n"/>
      <c r="G21" s="194" t="n"/>
      <c r="H21" s="194" t="n"/>
      <c r="I21" s="194" t="n"/>
    </row>
    <row r="22">
      <c r="A22" s="195" t="inlineStr">
        <is>
          <t>Netto moms genererad i månaden</t>
        </is>
      </c>
      <c r="B22" s="194">
        <f>'Budget maj-dec 2026'!B17*'Kassaflöde inmatning'!$B$6-SUMIFS('Kassaflöde beräkning'!$D$95:$D$190,'Kassaflöde beräkning'!$B$95:$B$190,B$3)</f>
        <v/>
      </c>
      <c r="C22" s="194">
        <f>'Budget maj-dec 2026'!C17*'Kassaflöde inmatning'!$B$6-SUMIFS('Kassaflöde beräkning'!$D$95:$D$190,'Kassaflöde beräkning'!$B$95:$B$190,C$3)</f>
        <v/>
      </c>
      <c r="D22" s="194">
        <f>'Budget maj-dec 2026'!D17*'Kassaflöde inmatning'!$B$6-SUMIFS('Kassaflöde beräkning'!$D$95:$D$190,'Kassaflöde beräkning'!$B$95:$B$190,D$3)</f>
        <v/>
      </c>
      <c r="E22" s="194">
        <f>'Budget maj-dec 2026'!E17*'Kassaflöde inmatning'!$B$6-SUMIFS('Kassaflöde beräkning'!$D$95:$D$190,'Kassaflöde beräkning'!$B$95:$B$190,E$3)</f>
        <v/>
      </c>
      <c r="F22" s="194">
        <f>'Budget maj-dec 2026'!F17*'Kassaflöde inmatning'!$B$6-SUMIFS('Kassaflöde beräkning'!$D$95:$D$190,'Kassaflöde beräkning'!$B$95:$B$190,F$3)</f>
        <v/>
      </c>
      <c r="G22" s="194">
        <f>'Budget maj-dec 2026'!G17*'Kassaflöde inmatning'!$B$6-SUMIFS('Kassaflöde beräkning'!$D$95:$D$190,'Kassaflöde beräkning'!$B$95:$B$190,G$3)</f>
        <v/>
      </c>
      <c r="H22" s="194">
        <f>'Budget maj-dec 2026'!H17*'Kassaflöde inmatning'!$B$6-SUMIFS('Kassaflöde beräkning'!$D$95:$D$190,'Kassaflöde beräkning'!$B$95:$B$190,H$3)</f>
        <v/>
      </c>
      <c r="I22" s="194">
        <f>'Budget maj-dec 2026'!I17*'Kassaflöde inmatning'!$B$6-SUMIFS('Kassaflöde beräkning'!$D$95:$D$190,'Kassaflöde beräkning'!$B$95:$B$190,I$3)</f>
        <v/>
      </c>
    </row>
    <row r="23">
      <c r="A23" s="195" t="inlineStr">
        <is>
          <t>Skatt/AG som förfaller efter december</t>
        </is>
      </c>
      <c r="B23" s="194">
        <f>SUMIFS('Kassaflöde beräkning'!$C$194:$C$209,'Kassaflöde beräkning'!$A$194:$A$209,"Skatt och AG",'Kassaflöde beräkning'!$E$194:$E$209,"&gt;"&amp;$I$3)</f>
        <v/>
      </c>
      <c r="C23" s="194">
        <f>SUMIFS('Kassaflöde beräkning'!$C$194:$C$209,'Kassaflöde beräkning'!$A$194:$A$209,"Skatt och AG",'Kassaflöde beräkning'!$E$194:$E$209,"&gt;"&amp;$I$3)</f>
        <v/>
      </c>
      <c r="D23" s="194">
        <f>SUMIFS('Kassaflöde beräkning'!$C$194:$C$209,'Kassaflöde beräkning'!$A$194:$A$209,"Skatt och AG",'Kassaflöde beräkning'!$E$194:$E$209,"&gt;"&amp;$I$3)</f>
        <v/>
      </c>
      <c r="E23" s="194">
        <f>SUMIFS('Kassaflöde beräkning'!$C$194:$C$209,'Kassaflöde beräkning'!$A$194:$A$209,"Skatt och AG",'Kassaflöde beräkning'!$E$194:$E$209,"&gt;"&amp;$I$3)</f>
        <v/>
      </c>
      <c r="F23" s="194">
        <f>SUMIFS('Kassaflöde beräkning'!$C$194:$C$209,'Kassaflöde beräkning'!$A$194:$A$209,"Skatt och AG",'Kassaflöde beräkning'!$E$194:$E$209,"&gt;"&amp;$I$3)</f>
        <v/>
      </c>
      <c r="G23" s="194">
        <f>SUMIFS('Kassaflöde beräkning'!$C$194:$C$209,'Kassaflöde beräkning'!$A$194:$A$209,"Skatt och AG",'Kassaflöde beräkning'!$E$194:$E$209,"&gt;"&amp;$I$3)</f>
        <v/>
      </c>
      <c r="H23" s="194">
        <f>SUMIFS('Kassaflöde beräkning'!$C$194:$C$209,'Kassaflöde beräkning'!$A$194:$A$209,"Skatt och AG",'Kassaflöde beräkning'!$E$194:$E$209,"&gt;"&amp;$I$3)</f>
        <v/>
      </c>
      <c r="I23" s="194">
        <f>SUMIFS('Kassaflöde beräkning'!$C$194:$C$209,'Kassaflöde beräkning'!$A$194:$A$209,"Skatt och AG",'Kassaflöde beräkning'!$E$194:$E$209,"&gt;"&amp;$I$3)</f>
        <v/>
      </c>
    </row>
    <row r="24">
      <c r="A24" s="195" t="inlineStr">
        <is>
          <t>Moms som förfaller efter december</t>
        </is>
      </c>
      <c r="B24" s="194">
        <f>IF(MONTH($I$3)=12,IF('Kassaflöde inmatning'!$B$7="Kvartalsvis",SUM(G22:I22),I22),0)</f>
        <v/>
      </c>
      <c r="C24" s="194">
        <f>IF(MONTH($I$3)=12,IF('Kassaflöde inmatning'!$B$7="Kvartalsvis",SUM(G22:I22),I22),0)</f>
        <v/>
      </c>
      <c r="D24" s="194">
        <f>IF(MONTH($I$3)=12,IF('Kassaflöde inmatning'!$B$7="Kvartalsvis",SUM(G22:I22),I22),0)</f>
        <v/>
      </c>
      <c r="E24" s="194">
        <f>IF(MONTH($I$3)=12,IF('Kassaflöde inmatning'!$B$7="Kvartalsvis",SUM(G22:I22),I22),0)</f>
        <v/>
      </c>
      <c r="F24" s="194">
        <f>IF(MONTH($I$3)=12,IF('Kassaflöde inmatning'!$B$7="Kvartalsvis",SUM(G22:I22),I22),0)</f>
        <v/>
      </c>
      <c r="G24" s="194">
        <f>IF(MONTH($I$3)=12,IF('Kassaflöde inmatning'!$B$7="Kvartalsvis",SUM(G22:I22),I22),0)</f>
        <v/>
      </c>
      <c r="H24" s="194">
        <f>IF(MONTH($I$3)=12,IF('Kassaflöde inmatning'!$B$7="Kvartalsvis",SUM(G22:I22),I22),0)</f>
        <v/>
      </c>
      <c r="I24" s="194">
        <f>IF(MONTH($I$3)=12,IF('Kassaflöde inmatning'!$B$7="Kvartalsvis",SUM(G22:I22),I22),0)</f>
        <v/>
      </c>
    </row>
    <row r="27">
      <c r="A27" t="inlineStr">
        <is>
          <t>Notering</t>
        </is>
      </c>
      <c r="B27" s="198" t="inlineStr">
        <is>
          <t>Kundvillkor kan sättas per kund som 30/60 dagar från månadsslut eller fakturadatum. Kostnader kan läggas månadsvis, kvartalsvis, halvårsvis eller årsvis. Lönedatum beräknas som den 25:e eller närmast föregående vardag.</t>
        </is>
      </c>
    </row>
    <row r="28"/>
  </sheetData>
  <mergeCells count="2">
    <mergeCell ref="A1:J1"/>
    <mergeCell ref="B27:I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selection activeCell="A1" sqref="A1"/>
    </sheetView>
  </sheetViews>
  <sheetFormatPr baseColWidth="8" defaultRowHeight="15"/>
  <cols>
    <col width="18" customWidth="1" style="155" min="1" max="1"/>
    <col width="18" customWidth="1" style="155" min="2" max="2"/>
    <col width="18" customWidth="1" style="155" min="3" max="3"/>
    <col width="18" customWidth="1" style="155" min="4" max="4"/>
    <col width="18" customWidth="1" style="155" min="5" max="5"/>
    <col width="18" customWidth="1" style="155" min="6" max="6"/>
    <col width="18" customWidth="1" style="155" min="7" max="7"/>
    <col width="18" customWidth="1" style="155" min="8" max="8"/>
    <col width="18" customWidth="1" style="155" min="9" max="9"/>
  </cols>
  <sheetData>
    <row r="1">
      <c r="A1" s="180" t="inlineStr">
        <is>
          <t>Beräkningar för kassaflöde</t>
        </is>
      </c>
      <c r="B1" s="199" t="n"/>
      <c r="C1" s="200" t="n"/>
      <c r="D1" s="200" t="n"/>
      <c r="G1" s="199" t="n"/>
      <c r="H1" s="199" t="n"/>
      <c r="I1" s="199" t="n"/>
    </row>
    <row r="2">
      <c r="B2" s="199" t="n"/>
      <c r="C2" s="200" t="n"/>
      <c r="D2" s="200" t="n"/>
      <c r="G2" s="199" t="n"/>
      <c r="H2" s="199" t="n"/>
      <c r="I2" s="199" t="n"/>
    </row>
    <row r="3">
      <c r="A3" s="181" t="inlineStr">
        <is>
          <t>Kund</t>
        </is>
      </c>
      <c r="B3" s="201" t="inlineStr">
        <is>
          <t>Fakturamånad</t>
        </is>
      </c>
      <c r="C3" s="202" t="inlineStr">
        <is>
          <t>Fakturerat ex moms</t>
        </is>
      </c>
      <c r="D3" s="202" t="inlineStr">
        <is>
          <t>Utgående moms</t>
        </is>
      </c>
      <c r="E3" s="181" t="inlineStr">
        <is>
          <t>Villkorsdagar</t>
        </is>
      </c>
      <c r="F3" s="181" t="inlineStr">
        <is>
          <t>Bas</t>
        </is>
      </c>
      <c r="G3" s="201" t="inlineStr">
        <is>
          <t>Förfallodatum</t>
        </is>
      </c>
      <c r="H3" s="201" t="inlineStr">
        <is>
          <t>Betalningsmånad</t>
        </is>
      </c>
      <c r="I3" s="199" t="n"/>
    </row>
    <row r="4">
      <c r="A4" s="203" t="inlineStr">
        <is>
          <t>SafeSpring</t>
        </is>
      </c>
      <c r="B4" s="204" t="n">
        <v>46143</v>
      </c>
      <c r="C4" s="205">
        <f>'Budget maj-dec 2026'!B6</f>
        <v/>
      </c>
      <c r="D4" s="205">
        <f>IF('Kassaflöde inmatning'!$E$19="Ja",C4*'Kassaflöde inmatning'!$B$6,0)</f>
        <v/>
      </c>
      <c r="E4" s="203">
        <f>'Kassaflöde inmatning'!$C$19</f>
        <v/>
      </c>
      <c r="F4" s="203">
        <f>'Kassaflöde inmatning'!$D$19</f>
        <v/>
      </c>
      <c r="G4" s="204">
        <f>IF(F4="Månadsslut",EOMONTH(B4,0)+E4,B4+E4)</f>
        <v/>
      </c>
      <c r="H4" s="204">
        <f>DATE(YEAR(G4),MONTH(G4),1)</f>
        <v/>
      </c>
      <c r="I4" s="199" t="n"/>
    </row>
    <row r="5">
      <c r="A5" s="203" t="inlineStr">
        <is>
          <t>SafeSpring</t>
        </is>
      </c>
      <c r="B5" s="204" t="n">
        <v>46174</v>
      </c>
      <c r="C5" s="205">
        <f>'Budget maj-dec 2026'!C6</f>
        <v/>
      </c>
      <c r="D5" s="205">
        <f>IF('Kassaflöde inmatning'!$E$19="Ja",C5*'Kassaflöde inmatning'!$B$6,0)</f>
        <v/>
      </c>
      <c r="E5" s="203">
        <f>'Kassaflöde inmatning'!$C$19</f>
        <v/>
      </c>
      <c r="F5" s="203">
        <f>'Kassaflöde inmatning'!$D$19</f>
        <v/>
      </c>
      <c r="G5" s="204">
        <f>IF(F5="Månadsslut",EOMONTH(B5,0)+E5,B5+E5)</f>
        <v/>
      </c>
      <c r="H5" s="204">
        <f>DATE(YEAR(G5),MONTH(G5),1)</f>
        <v/>
      </c>
      <c r="I5" s="199" t="n"/>
    </row>
    <row r="6">
      <c r="A6" s="203" t="inlineStr">
        <is>
          <t>SafeSpring</t>
        </is>
      </c>
      <c r="B6" s="204" t="n">
        <v>46204</v>
      </c>
      <c r="C6" s="205">
        <f>'Budget maj-dec 2026'!D6</f>
        <v/>
      </c>
      <c r="D6" s="205">
        <f>IF('Kassaflöde inmatning'!$E$19="Ja",C6*'Kassaflöde inmatning'!$B$6,0)</f>
        <v/>
      </c>
      <c r="E6" s="203">
        <f>'Kassaflöde inmatning'!$C$19</f>
        <v/>
      </c>
      <c r="F6" s="203">
        <f>'Kassaflöde inmatning'!$D$19</f>
        <v/>
      </c>
      <c r="G6" s="204">
        <f>IF(F6="Månadsslut",EOMONTH(B6,0)+E6,B6+E6)</f>
        <v/>
      </c>
      <c r="H6" s="204">
        <f>DATE(YEAR(G6),MONTH(G6),1)</f>
        <v/>
      </c>
      <c r="I6" s="199" t="n"/>
    </row>
    <row r="7">
      <c r="A7" s="203" t="inlineStr">
        <is>
          <t>SafeSpring</t>
        </is>
      </c>
      <c r="B7" s="204" t="n">
        <v>46235</v>
      </c>
      <c r="C7" s="205">
        <f>'Budget maj-dec 2026'!E6</f>
        <v/>
      </c>
      <c r="D7" s="205">
        <f>IF('Kassaflöde inmatning'!$E$19="Ja",C7*'Kassaflöde inmatning'!$B$6,0)</f>
        <v/>
      </c>
      <c r="E7" s="203">
        <f>'Kassaflöde inmatning'!$C$19</f>
        <v/>
      </c>
      <c r="F7" s="203">
        <f>'Kassaflöde inmatning'!$D$19</f>
        <v/>
      </c>
      <c r="G7" s="204">
        <f>IF(F7="Månadsslut",EOMONTH(B7,0)+E7,B7+E7)</f>
        <v/>
      </c>
      <c r="H7" s="204">
        <f>DATE(YEAR(G7),MONTH(G7),1)</f>
        <v/>
      </c>
      <c r="I7" s="199" t="n"/>
    </row>
    <row r="8">
      <c r="A8" s="203" t="inlineStr">
        <is>
          <t>SafeSpring</t>
        </is>
      </c>
      <c r="B8" s="204" t="n">
        <v>46266</v>
      </c>
      <c r="C8" s="205">
        <f>'Budget maj-dec 2026'!F6</f>
        <v/>
      </c>
      <c r="D8" s="205">
        <f>IF('Kassaflöde inmatning'!$E$19="Ja",C8*'Kassaflöde inmatning'!$B$6,0)</f>
        <v/>
      </c>
      <c r="E8" s="203">
        <f>'Kassaflöde inmatning'!$C$19</f>
        <v/>
      </c>
      <c r="F8" s="203">
        <f>'Kassaflöde inmatning'!$D$19</f>
        <v/>
      </c>
      <c r="G8" s="204">
        <f>IF(F8="Månadsslut",EOMONTH(B8,0)+E8,B8+E8)</f>
        <v/>
      </c>
      <c r="H8" s="204">
        <f>DATE(YEAR(G8),MONTH(G8),1)</f>
        <v/>
      </c>
      <c r="I8" s="199" t="n"/>
    </row>
    <row r="9">
      <c r="A9" s="203" t="inlineStr">
        <is>
          <t>SafeSpring</t>
        </is>
      </c>
      <c r="B9" s="204" t="n">
        <v>46296</v>
      </c>
      <c r="C9" s="205">
        <f>'Budget maj-dec 2026'!G6</f>
        <v/>
      </c>
      <c r="D9" s="205">
        <f>IF('Kassaflöde inmatning'!$E$19="Ja",C9*'Kassaflöde inmatning'!$B$6,0)</f>
        <v/>
      </c>
      <c r="E9" s="203">
        <f>'Kassaflöde inmatning'!$C$19</f>
        <v/>
      </c>
      <c r="F9" s="203">
        <f>'Kassaflöde inmatning'!$D$19</f>
        <v/>
      </c>
      <c r="G9" s="204">
        <f>IF(F9="Månadsslut",EOMONTH(B9,0)+E9,B9+E9)</f>
        <v/>
      </c>
      <c r="H9" s="204">
        <f>DATE(YEAR(G9),MONTH(G9),1)</f>
        <v/>
      </c>
      <c r="I9" s="199" t="n"/>
    </row>
    <row r="10">
      <c r="A10" s="203" t="inlineStr">
        <is>
          <t>SafeSpring</t>
        </is>
      </c>
      <c r="B10" s="204" t="n">
        <v>46327</v>
      </c>
      <c r="C10" s="205">
        <f>'Budget maj-dec 2026'!H6</f>
        <v/>
      </c>
      <c r="D10" s="205">
        <f>IF('Kassaflöde inmatning'!$E$19="Ja",C10*'Kassaflöde inmatning'!$B$6,0)</f>
        <v/>
      </c>
      <c r="E10" s="203">
        <f>'Kassaflöde inmatning'!$C$19</f>
        <v/>
      </c>
      <c r="F10" s="203">
        <f>'Kassaflöde inmatning'!$D$19</f>
        <v/>
      </c>
      <c r="G10" s="204">
        <f>IF(F10="Månadsslut",EOMONTH(B10,0)+E10,B10+E10)</f>
        <v/>
      </c>
      <c r="H10" s="204">
        <f>DATE(YEAR(G10),MONTH(G10),1)</f>
        <v/>
      </c>
      <c r="I10" s="199" t="n"/>
    </row>
    <row r="11">
      <c r="A11" s="203" t="inlineStr">
        <is>
          <t>SafeSpring</t>
        </is>
      </c>
      <c r="B11" s="204" t="n">
        <v>46357</v>
      </c>
      <c r="C11" s="205">
        <f>'Budget maj-dec 2026'!I6</f>
        <v/>
      </c>
      <c r="D11" s="205">
        <f>IF('Kassaflöde inmatning'!$E$19="Ja",C11*'Kassaflöde inmatning'!$B$6,0)</f>
        <v/>
      </c>
      <c r="E11" s="203">
        <f>'Kassaflöde inmatning'!$C$19</f>
        <v/>
      </c>
      <c r="F11" s="203">
        <f>'Kassaflöde inmatning'!$D$19</f>
        <v/>
      </c>
      <c r="G11" s="204">
        <f>IF(F11="Månadsslut",EOMONTH(B11,0)+E11,B11+E11)</f>
        <v/>
      </c>
      <c r="H11" s="204">
        <f>DATE(YEAR(G11),MONTH(G11),1)</f>
        <v/>
      </c>
      <c r="I11" s="199" t="n"/>
    </row>
    <row r="12">
      <c r="A12" s="203" t="inlineStr">
        <is>
          <t>Accure</t>
        </is>
      </c>
      <c r="B12" s="204" t="n">
        <v>46143</v>
      </c>
      <c r="C12" s="205">
        <f>'Budget maj-dec 2026'!B7</f>
        <v/>
      </c>
      <c r="D12" s="205">
        <f>IF('Kassaflöde inmatning'!$E$20="Ja",C12*'Kassaflöde inmatning'!$B$6,0)</f>
        <v/>
      </c>
      <c r="E12" s="203">
        <f>'Kassaflöde inmatning'!$C$20</f>
        <v/>
      </c>
      <c r="F12" s="203">
        <f>'Kassaflöde inmatning'!$D$20</f>
        <v/>
      </c>
      <c r="G12" s="204">
        <f>IF(F12="Månadsslut",EOMONTH(B12,0)+E12,B12+E12)</f>
        <v/>
      </c>
      <c r="H12" s="204">
        <f>DATE(YEAR(G12),MONTH(G12),1)</f>
        <v/>
      </c>
      <c r="I12" s="199" t="n"/>
    </row>
    <row r="13">
      <c r="A13" s="203" t="inlineStr">
        <is>
          <t>Accure</t>
        </is>
      </c>
      <c r="B13" s="204" t="n">
        <v>46174</v>
      </c>
      <c r="C13" s="205">
        <f>'Budget maj-dec 2026'!C7</f>
        <v/>
      </c>
      <c r="D13" s="205">
        <f>IF('Kassaflöde inmatning'!$E$20="Ja",C13*'Kassaflöde inmatning'!$B$6,0)</f>
        <v/>
      </c>
      <c r="E13" s="203">
        <f>'Kassaflöde inmatning'!$C$20</f>
        <v/>
      </c>
      <c r="F13" s="203">
        <f>'Kassaflöde inmatning'!$D$20</f>
        <v/>
      </c>
      <c r="G13" s="204">
        <f>IF(F13="Månadsslut",EOMONTH(B13,0)+E13,B13+E13)</f>
        <v/>
      </c>
      <c r="H13" s="204">
        <f>DATE(YEAR(G13),MONTH(G13),1)</f>
        <v/>
      </c>
      <c r="I13" s="199" t="n"/>
    </row>
    <row r="14">
      <c r="A14" s="203" t="inlineStr">
        <is>
          <t>Accure</t>
        </is>
      </c>
      <c r="B14" s="204" t="n">
        <v>46204</v>
      </c>
      <c r="C14" s="205">
        <f>'Budget maj-dec 2026'!D7</f>
        <v/>
      </c>
      <c r="D14" s="205">
        <f>IF('Kassaflöde inmatning'!$E$20="Ja",C14*'Kassaflöde inmatning'!$B$6,0)</f>
        <v/>
      </c>
      <c r="E14" s="203">
        <f>'Kassaflöde inmatning'!$C$20</f>
        <v/>
      </c>
      <c r="F14" s="203">
        <f>'Kassaflöde inmatning'!$D$20</f>
        <v/>
      </c>
      <c r="G14" s="204">
        <f>IF(F14="Månadsslut",EOMONTH(B14,0)+E14,B14+E14)</f>
        <v/>
      </c>
      <c r="H14" s="204">
        <f>DATE(YEAR(G14),MONTH(G14),1)</f>
        <v/>
      </c>
      <c r="I14" s="199" t="n"/>
    </row>
    <row r="15">
      <c r="A15" s="203" t="inlineStr">
        <is>
          <t>Accure</t>
        </is>
      </c>
      <c r="B15" s="204" t="n">
        <v>46235</v>
      </c>
      <c r="C15" s="205">
        <f>'Budget maj-dec 2026'!E7</f>
        <v/>
      </c>
      <c r="D15" s="205">
        <f>IF('Kassaflöde inmatning'!$E$20="Ja",C15*'Kassaflöde inmatning'!$B$6,0)</f>
        <v/>
      </c>
      <c r="E15" s="203">
        <f>'Kassaflöde inmatning'!$C$20</f>
        <v/>
      </c>
      <c r="F15" s="203">
        <f>'Kassaflöde inmatning'!$D$20</f>
        <v/>
      </c>
      <c r="G15" s="204">
        <f>IF(F15="Månadsslut",EOMONTH(B15,0)+E15,B15+E15)</f>
        <v/>
      </c>
      <c r="H15" s="204">
        <f>DATE(YEAR(G15),MONTH(G15),1)</f>
        <v/>
      </c>
      <c r="I15" s="199" t="n"/>
    </row>
    <row r="16">
      <c r="A16" s="203" t="inlineStr">
        <is>
          <t>Accure</t>
        </is>
      </c>
      <c r="B16" s="204" t="n">
        <v>46266</v>
      </c>
      <c r="C16" s="205">
        <f>'Budget maj-dec 2026'!F7</f>
        <v/>
      </c>
      <c r="D16" s="205">
        <f>IF('Kassaflöde inmatning'!$E$20="Ja",C16*'Kassaflöde inmatning'!$B$6,0)</f>
        <v/>
      </c>
      <c r="E16" s="203">
        <f>'Kassaflöde inmatning'!$C$20</f>
        <v/>
      </c>
      <c r="F16" s="203">
        <f>'Kassaflöde inmatning'!$D$20</f>
        <v/>
      </c>
      <c r="G16" s="204">
        <f>IF(F16="Månadsslut",EOMONTH(B16,0)+E16,B16+E16)</f>
        <v/>
      </c>
      <c r="H16" s="204">
        <f>DATE(YEAR(G16),MONTH(G16),1)</f>
        <v/>
      </c>
      <c r="I16" s="199" t="n"/>
    </row>
    <row r="17">
      <c r="A17" s="203" t="inlineStr">
        <is>
          <t>Accure</t>
        </is>
      </c>
      <c r="B17" s="204" t="n">
        <v>46296</v>
      </c>
      <c r="C17" s="205">
        <f>'Budget maj-dec 2026'!G7</f>
        <v/>
      </c>
      <c r="D17" s="205">
        <f>IF('Kassaflöde inmatning'!$E$20="Ja",C17*'Kassaflöde inmatning'!$B$6,0)</f>
        <v/>
      </c>
      <c r="E17" s="203">
        <f>'Kassaflöde inmatning'!$C$20</f>
        <v/>
      </c>
      <c r="F17" s="203">
        <f>'Kassaflöde inmatning'!$D$20</f>
        <v/>
      </c>
      <c r="G17" s="204">
        <f>IF(F17="Månadsslut",EOMONTH(B17,0)+E17,B17+E17)</f>
        <v/>
      </c>
      <c r="H17" s="204">
        <f>DATE(YEAR(G17),MONTH(G17),1)</f>
        <v/>
      </c>
      <c r="I17" s="199" t="n"/>
    </row>
    <row r="18">
      <c r="A18" s="203" t="inlineStr">
        <is>
          <t>Accure</t>
        </is>
      </c>
      <c r="B18" s="204" t="n">
        <v>46327</v>
      </c>
      <c r="C18" s="205">
        <f>'Budget maj-dec 2026'!H7</f>
        <v/>
      </c>
      <c r="D18" s="205">
        <f>IF('Kassaflöde inmatning'!$E$20="Ja",C18*'Kassaflöde inmatning'!$B$6,0)</f>
        <v/>
      </c>
      <c r="E18" s="203">
        <f>'Kassaflöde inmatning'!$C$20</f>
        <v/>
      </c>
      <c r="F18" s="203">
        <f>'Kassaflöde inmatning'!$D$20</f>
        <v/>
      </c>
      <c r="G18" s="204">
        <f>IF(F18="Månadsslut",EOMONTH(B18,0)+E18,B18+E18)</f>
        <v/>
      </c>
      <c r="H18" s="204">
        <f>DATE(YEAR(G18),MONTH(G18),1)</f>
        <v/>
      </c>
      <c r="I18" s="199" t="n"/>
    </row>
    <row r="19">
      <c r="A19" s="203" t="inlineStr">
        <is>
          <t>Accure</t>
        </is>
      </c>
      <c r="B19" s="204" t="n">
        <v>46357</v>
      </c>
      <c r="C19" s="205">
        <f>'Budget maj-dec 2026'!I7</f>
        <v/>
      </c>
      <c r="D19" s="205">
        <f>IF('Kassaflöde inmatning'!$E$20="Ja",C19*'Kassaflöde inmatning'!$B$6,0)</f>
        <v/>
      </c>
      <c r="E19" s="203">
        <f>'Kassaflöde inmatning'!$C$20</f>
        <v/>
      </c>
      <c r="F19" s="203">
        <f>'Kassaflöde inmatning'!$D$20</f>
        <v/>
      </c>
      <c r="G19" s="204">
        <f>IF(F19="Månadsslut",EOMONTH(B19,0)+E19,B19+E19)</f>
        <v/>
      </c>
      <c r="H19" s="204">
        <f>DATE(YEAR(G19),MONTH(G19),1)</f>
        <v/>
      </c>
      <c r="I19" s="199" t="n"/>
    </row>
    <row r="20">
      <c r="A20" s="203" t="inlineStr">
        <is>
          <t>Team Neusta</t>
        </is>
      </c>
      <c r="B20" s="204" t="n">
        <v>46143</v>
      </c>
      <c r="C20" s="205">
        <f>'Budget maj-dec 2026'!B8</f>
        <v/>
      </c>
      <c r="D20" s="205">
        <f>IF('Kassaflöde inmatning'!$E$21="Ja",C20*'Kassaflöde inmatning'!$B$6,0)</f>
        <v/>
      </c>
      <c r="E20" s="203">
        <f>'Kassaflöde inmatning'!$C$21</f>
        <v/>
      </c>
      <c r="F20" s="203">
        <f>'Kassaflöde inmatning'!$D$21</f>
        <v/>
      </c>
      <c r="G20" s="204">
        <f>IF(F20="Månadsslut",EOMONTH(B20,0)+E20,B20+E20)</f>
        <v/>
      </c>
      <c r="H20" s="204">
        <f>DATE(YEAR(G20),MONTH(G20),1)</f>
        <v/>
      </c>
      <c r="I20" s="199" t="n"/>
    </row>
    <row r="21">
      <c r="A21" s="203" t="inlineStr">
        <is>
          <t>Team Neusta</t>
        </is>
      </c>
      <c r="B21" s="204" t="n">
        <v>46174</v>
      </c>
      <c r="C21" s="205">
        <f>'Budget maj-dec 2026'!C8</f>
        <v/>
      </c>
      <c r="D21" s="205">
        <f>IF('Kassaflöde inmatning'!$E$21="Ja",C21*'Kassaflöde inmatning'!$B$6,0)</f>
        <v/>
      </c>
      <c r="E21" s="203">
        <f>'Kassaflöde inmatning'!$C$21</f>
        <v/>
      </c>
      <c r="F21" s="203">
        <f>'Kassaflöde inmatning'!$D$21</f>
        <v/>
      </c>
      <c r="G21" s="204">
        <f>IF(F21="Månadsslut",EOMONTH(B21,0)+E21,B21+E21)</f>
        <v/>
      </c>
      <c r="H21" s="204">
        <f>DATE(YEAR(G21),MONTH(G21),1)</f>
        <v/>
      </c>
      <c r="I21" s="199" t="n"/>
    </row>
    <row r="22">
      <c r="A22" s="203" t="inlineStr">
        <is>
          <t>Team Neusta</t>
        </is>
      </c>
      <c r="B22" s="204" t="n">
        <v>46204</v>
      </c>
      <c r="C22" s="205">
        <f>'Budget maj-dec 2026'!D8</f>
        <v/>
      </c>
      <c r="D22" s="205">
        <f>IF('Kassaflöde inmatning'!$E$21="Ja",C22*'Kassaflöde inmatning'!$B$6,0)</f>
        <v/>
      </c>
      <c r="E22" s="203">
        <f>'Kassaflöde inmatning'!$C$21</f>
        <v/>
      </c>
      <c r="F22" s="203">
        <f>'Kassaflöde inmatning'!$D$21</f>
        <v/>
      </c>
      <c r="G22" s="204">
        <f>IF(F22="Månadsslut",EOMONTH(B22,0)+E22,B22+E22)</f>
        <v/>
      </c>
      <c r="H22" s="204">
        <f>DATE(YEAR(G22),MONTH(G22),1)</f>
        <v/>
      </c>
      <c r="I22" s="199" t="n"/>
    </row>
    <row r="23">
      <c r="A23" s="203" t="inlineStr">
        <is>
          <t>Team Neusta</t>
        </is>
      </c>
      <c r="B23" s="204" t="n">
        <v>46235</v>
      </c>
      <c r="C23" s="205">
        <f>'Budget maj-dec 2026'!E8</f>
        <v/>
      </c>
      <c r="D23" s="205">
        <f>IF('Kassaflöde inmatning'!$E$21="Ja",C23*'Kassaflöde inmatning'!$B$6,0)</f>
        <v/>
      </c>
      <c r="E23" s="203">
        <f>'Kassaflöde inmatning'!$C$21</f>
        <v/>
      </c>
      <c r="F23" s="203">
        <f>'Kassaflöde inmatning'!$D$21</f>
        <v/>
      </c>
      <c r="G23" s="204">
        <f>IF(F23="Månadsslut",EOMONTH(B23,0)+E23,B23+E23)</f>
        <v/>
      </c>
      <c r="H23" s="204">
        <f>DATE(YEAR(G23),MONTH(G23),1)</f>
        <v/>
      </c>
      <c r="I23" s="199" t="n"/>
    </row>
    <row r="24">
      <c r="A24" s="203" t="inlineStr">
        <is>
          <t>Team Neusta</t>
        </is>
      </c>
      <c r="B24" s="204" t="n">
        <v>46266</v>
      </c>
      <c r="C24" s="205">
        <f>'Budget maj-dec 2026'!F8</f>
        <v/>
      </c>
      <c r="D24" s="205">
        <f>IF('Kassaflöde inmatning'!$E$21="Ja",C24*'Kassaflöde inmatning'!$B$6,0)</f>
        <v/>
      </c>
      <c r="E24" s="203">
        <f>'Kassaflöde inmatning'!$C$21</f>
        <v/>
      </c>
      <c r="F24" s="203">
        <f>'Kassaflöde inmatning'!$D$21</f>
        <v/>
      </c>
      <c r="G24" s="204">
        <f>IF(F24="Månadsslut",EOMONTH(B24,0)+E24,B24+E24)</f>
        <v/>
      </c>
      <c r="H24" s="204">
        <f>DATE(YEAR(G24),MONTH(G24),1)</f>
        <v/>
      </c>
      <c r="I24" s="199" t="n"/>
    </row>
    <row r="25">
      <c r="A25" s="203" t="inlineStr">
        <is>
          <t>Team Neusta</t>
        </is>
      </c>
      <c r="B25" s="204" t="n">
        <v>46296</v>
      </c>
      <c r="C25" s="205">
        <f>'Budget maj-dec 2026'!G8</f>
        <v/>
      </c>
      <c r="D25" s="205">
        <f>IF('Kassaflöde inmatning'!$E$21="Ja",C25*'Kassaflöde inmatning'!$B$6,0)</f>
        <v/>
      </c>
      <c r="E25" s="203">
        <f>'Kassaflöde inmatning'!$C$21</f>
        <v/>
      </c>
      <c r="F25" s="203">
        <f>'Kassaflöde inmatning'!$D$21</f>
        <v/>
      </c>
      <c r="G25" s="204">
        <f>IF(F25="Månadsslut",EOMONTH(B25,0)+E25,B25+E25)</f>
        <v/>
      </c>
      <c r="H25" s="204">
        <f>DATE(YEAR(G25),MONTH(G25),1)</f>
        <v/>
      </c>
      <c r="I25" s="199" t="n"/>
    </row>
    <row r="26">
      <c r="A26" s="203" t="inlineStr">
        <is>
          <t>Team Neusta</t>
        </is>
      </c>
      <c r="B26" s="204" t="n">
        <v>46327</v>
      </c>
      <c r="C26" s="205">
        <f>'Budget maj-dec 2026'!H8</f>
        <v/>
      </c>
      <c r="D26" s="205">
        <f>IF('Kassaflöde inmatning'!$E$21="Ja",C26*'Kassaflöde inmatning'!$B$6,0)</f>
        <v/>
      </c>
      <c r="E26" s="203">
        <f>'Kassaflöde inmatning'!$C$21</f>
        <v/>
      </c>
      <c r="F26" s="203">
        <f>'Kassaflöde inmatning'!$D$21</f>
        <v/>
      </c>
      <c r="G26" s="204">
        <f>IF(F26="Månadsslut",EOMONTH(B26,0)+E26,B26+E26)</f>
        <v/>
      </c>
      <c r="H26" s="204">
        <f>DATE(YEAR(G26),MONTH(G26),1)</f>
        <v/>
      </c>
      <c r="I26" s="199" t="n"/>
    </row>
    <row r="27">
      <c r="A27" s="203" t="inlineStr">
        <is>
          <t>Team Neusta</t>
        </is>
      </c>
      <c r="B27" s="204" t="n">
        <v>46357</v>
      </c>
      <c r="C27" s="205">
        <f>'Budget maj-dec 2026'!I8</f>
        <v/>
      </c>
      <c r="D27" s="205">
        <f>IF('Kassaflöde inmatning'!$E$21="Ja",C27*'Kassaflöde inmatning'!$B$6,0)</f>
        <v/>
      </c>
      <c r="E27" s="203">
        <f>'Kassaflöde inmatning'!$C$21</f>
        <v/>
      </c>
      <c r="F27" s="203">
        <f>'Kassaflöde inmatning'!$D$21</f>
        <v/>
      </c>
      <c r="G27" s="204">
        <f>IF(F27="Månadsslut",EOMONTH(B27,0)+E27,B27+E27)</f>
        <v/>
      </c>
      <c r="H27" s="204">
        <f>DATE(YEAR(G27),MONTH(G27),1)</f>
        <v/>
      </c>
      <c r="I27" s="199" t="n"/>
    </row>
    <row r="28">
      <c r="A28" s="203" t="inlineStr">
        <is>
          <t>Volvo Energy</t>
        </is>
      </c>
      <c r="B28" s="204" t="n">
        <v>46143</v>
      </c>
      <c r="C28" s="205">
        <f>'Budget maj-dec 2026'!B9</f>
        <v/>
      </c>
      <c r="D28" s="205">
        <f>IF('Kassaflöde inmatning'!$E$22="Ja",C28*'Kassaflöde inmatning'!$B$6,0)</f>
        <v/>
      </c>
      <c r="E28" s="203">
        <f>'Kassaflöde inmatning'!$C$22</f>
        <v/>
      </c>
      <c r="F28" s="203">
        <f>'Kassaflöde inmatning'!$D$22</f>
        <v/>
      </c>
      <c r="G28" s="204">
        <f>IF(F28="Månadsslut",EOMONTH(B28,0)+E28,B28+E28)</f>
        <v/>
      </c>
      <c r="H28" s="204">
        <f>DATE(YEAR(G28),MONTH(G28),1)</f>
        <v/>
      </c>
      <c r="I28" s="199" t="n"/>
    </row>
    <row r="29">
      <c r="A29" s="203" t="inlineStr">
        <is>
          <t>Volvo Energy</t>
        </is>
      </c>
      <c r="B29" s="204" t="n">
        <v>46174</v>
      </c>
      <c r="C29" s="205">
        <f>'Budget maj-dec 2026'!C9</f>
        <v/>
      </c>
      <c r="D29" s="205">
        <f>IF('Kassaflöde inmatning'!$E$22="Ja",C29*'Kassaflöde inmatning'!$B$6,0)</f>
        <v/>
      </c>
      <c r="E29" s="203">
        <f>'Kassaflöde inmatning'!$C$22</f>
        <v/>
      </c>
      <c r="F29" s="203">
        <f>'Kassaflöde inmatning'!$D$22</f>
        <v/>
      </c>
      <c r="G29" s="204">
        <f>IF(F29="Månadsslut",EOMONTH(B29,0)+E29,B29+E29)</f>
        <v/>
      </c>
      <c r="H29" s="204">
        <f>DATE(YEAR(G29),MONTH(G29),1)</f>
        <v/>
      </c>
      <c r="I29" s="199" t="n"/>
    </row>
    <row r="30">
      <c r="A30" s="203" t="inlineStr">
        <is>
          <t>Volvo Energy</t>
        </is>
      </c>
      <c r="B30" s="204" t="n">
        <v>46204</v>
      </c>
      <c r="C30" s="205">
        <f>'Budget maj-dec 2026'!D9</f>
        <v/>
      </c>
      <c r="D30" s="205">
        <f>IF('Kassaflöde inmatning'!$E$22="Ja",C30*'Kassaflöde inmatning'!$B$6,0)</f>
        <v/>
      </c>
      <c r="E30" s="203">
        <f>'Kassaflöde inmatning'!$C$22</f>
        <v/>
      </c>
      <c r="F30" s="203">
        <f>'Kassaflöde inmatning'!$D$22</f>
        <v/>
      </c>
      <c r="G30" s="204">
        <f>IF(F30="Månadsslut",EOMONTH(B30,0)+E30,B30+E30)</f>
        <v/>
      </c>
      <c r="H30" s="204">
        <f>DATE(YEAR(G30),MONTH(G30),1)</f>
        <v/>
      </c>
      <c r="I30" s="199" t="n"/>
    </row>
    <row r="31">
      <c r="A31" s="203" t="inlineStr">
        <is>
          <t>Volvo Energy</t>
        </is>
      </c>
      <c r="B31" s="204" t="n">
        <v>46235</v>
      </c>
      <c r="C31" s="205">
        <f>'Budget maj-dec 2026'!E9</f>
        <v/>
      </c>
      <c r="D31" s="205">
        <f>IF('Kassaflöde inmatning'!$E$22="Ja",C31*'Kassaflöde inmatning'!$B$6,0)</f>
        <v/>
      </c>
      <c r="E31" s="203">
        <f>'Kassaflöde inmatning'!$C$22</f>
        <v/>
      </c>
      <c r="F31" s="203">
        <f>'Kassaflöde inmatning'!$D$22</f>
        <v/>
      </c>
      <c r="G31" s="204">
        <f>IF(F31="Månadsslut",EOMONTH(B31,0)+E31,B31+E31)</f>
        <v/>
      </c>
      <c r="H31" s="204">
        <f>DATE(YEAR(G31),MONTH(G31),1)</f>
        <v/>
      </c>
      <c r="I31" s="199" t="n"/>
    </row>
    <row r="32">
      <c r="A32" s="203" t="inlineStr">
        <is>
          <t>Volvo Energy</t>
        </is>
      </c>
      <c r="B32" s="204" t="n">
        <v>46266</v>
      </c>
      <c r="C32" s="205">
        <f>'Budget maj-dec 2026'!F9</f>
        <v/>
      </c>
      <c r="D32" s="205">
        <f>IF('Kassaflöde inmatning'!$E$22="Ja",C32*'Kassaflöde inmatning'!$B$6,0)</f>
        <v/>
      </c>
      <c r="E32" s="203">
        <f>'Kassaflöde inmatning'!$C$22</f>
        <v/>
      </c>
      <c r="F32" s="203">
        <f>'Kassaflöde inmatning'!$D$22</f>
        <v/>
      </c>
      <c r="G32" s="204">
        <f>IF(F32="Månadsslut",EOMONTH(B32,0)+E32,B32+E32)</f>
        <v/>
      </c>
      <c r="H32" s="204">
        <f>DATE(YEAR(G32),MONTH(G32),1)</f>
        <v/>
      </c>
      <c r="I32" s="199" t="n"/>
    </row>
    <row r="33">
      <c r="A33" s="203" t="inlineStr">
        <is>
          <t>Volvo Energy</t>
        </is>
      </c>
      <c r="B33" s="204" t="n">
        <v>46296</v>
      </c>
      <c r="C33" s="205">
        <f>'Budget maj-dec 2026'!G9</f>
        <v/>
      </c>
      <c r="D33" s="205">
        <f>IF('Kassaflöde inmatning'!$E$22="Ja",C33*'Kassaflöde inmatning'!$B$6,0)</f>
        <v/>
      </c>
      <c r="E33" s="203">
        <f>'Kassaflöde inmatning'!$C$22</f>
        <v/>
      </c>
      <c r="F33" s="203">
        <f>'Kassaflöde inmatning'!$D$22</f>
        <v/>
      </c>
      <c r="G33" s="204">
        <f>IF(F33="Månadsslut",EOMONTH(B33,0)+E33,B33+E33)</f>
        <v/>
      </c>
      <c r="H33" s="204">
        <f>DATE(YEAR(G33),MONTH(G33),1)</f>
        <v/>
      </c>
      <c r="I33" s="199" t="n"/>
    </row>
    <row r="34">
      <c r="A34" s="203" t="inlineStr">
        <is>
          <t>Volvo Energy</t>
        </is>
      </c>
      <c r="B34" s="204" t="n">
        <v>46327</v>
      </c>
      <c r="C34" s="205">
        <f>'Budget maj-dec 2026'!H9</f>
        <v/>
      </c>
      <c r="D34" s="205">
        <f>IF('Kassaflöde inmatning'!$E$22="Ja",C34*'Kassaflöde inmatning'!$B$6,0)</f>
        <v/>
      </c>
      <c r="E34" s="203">
        <f>'Kassaflöde inmatning'!$C$22</f>
        <v/>
      </c>
      <c r="F34" s="203">
        <f>'Kassaflöde inmatning'!$D$22</f>
        <v/>
      </c>
      <c r="G34" s="204">
        <f>IF(F34="Månadsslut",EOMONTH(B34,0)+E34,B34+E34)</f>
        <v/>
      </c>
      <c r="H34" s="204">
        <f>DATE(YEAR(G34),MONTH(G34),1)</f>
        <v/>
      </c>
      <c r="I34" s="199" t="n"/>
    </row>
    <row r="35">
      <c r="A35" s="203" t="inlineStr">
        <is>
          <t>Volvo Energy</t>
        </is>
      </c>
      <c r="B35" s="204" t="n">
        <v>46357</v>
      </c>
      <c r="C35" s="205">
        <f>'Budget maj-dec 2026'!I9</f>
        <v/>
      </c>
      <c r="D35" s="205">
        <f>IF('Kassaflöde inmatning'!$E$22="Ja",C35*'Kassaflöde inmatning'!$B$6,0)</f>
        <v/>
      </c>
      <c r="E35" s="203">
        <f>'Kassaflöde inmatning'!$C$22</f>
        <v/>
      </c>
      <c r="F35" s="203">
        <f>'Kassaflöde inmatning'!$D$22</f>
        <v/>
      </c>
      <c r="G35" s="204">
        <f>IF(F35="Månadsslut",EOMONTH(B35,0)+E35,B35+E35)</f>
        <v/>
      </c>
      <c r="H35" s="204">
        <f>DATE(YEAR(G35),MONTH(G35),1)</f>
        <v/>
      </c>
      <c r="I35" s="199" t="n"/>
    </row>
    <row r="36">
      <c r="A36" s="203" t="inlineStr">
        <is>
          <t>Buddy Energy</t>
        </is>
      </c>
      <c r="B36" s="204" t="n">
        <v>46143</v>
      </c>
      <c r="C36" s="205">
        <f>'Budget maj-dec 2026'!B10</f>
        <v/>
      </c>
      <c r="D36" s="205">
        <f>IF('Kassaflöde inmatning'!$E$23="Ja",C36*'Kassaflöde inmatning'!$B$6,0)</f>
        <v/>
      </c>
      <c r="E36" s="203">
        <f>'Kassaflöde inmatning'!$C$23</f>
        <v/>
      </c>
      <c r="F36" s="203">
        <f>'Kassaflöde inmatning'!$D$23</f>
        <v/>
      </c>
      <c r="G36" s="204">
        <f>IF(F36="Månadsslut",EOMONTH(B36,0)+E36,B36+E36)</f>
        <v/>
      </c>
      <c r="H36" s="204">
        <f>DATE(YEAR(G36),MONTH(G36),1)</f>
        <v/>
      </c>
      <c r="I36" s="199" t="n"/>
    </row>
    <row r="37">
      <c r="A37" s="203" t="inlineStr">
        <is>
          <t>Buddy Energy</t>
        </is>
      </c>
      <c r="B37" s="204" t="n">
        <v>46174</v>
      </c>
      <c r="C37" s="205">
        <f>'Budget maj-dec 2026'!C10</f>
        <v/>
      </c>
      <c r="D37" s="205">
        <f>IF('Kassaflöde inmatning'!$E$23="Ja",C37*'Kassaflöde inmatning'!$B$6,0)</f>
        <v/>
      </c>
      <c r="E37" s="203">
        <f>'Kassaflöde inmatning'!$C$23</f>
        <v/>
      </c>
      <c r="F37" s="203">
        <f>'Kassaflöde inmatning'!$D$23</f>
        <v/>
      </c>
      <c r="G37" s="204">
        <f>IF(F37="Månadsslut",EOMONTH(B37,0)+E37,B37+E37)</f>
        <v/>
      </c>
      <c r="H37" s="204">
        <f>DATE(YEAR(G37),MONTH(G37),1)</f>
        <v/>
      </c>
      <c r="I37" s="199" t="n"/>
    </row>
    <row r="38">
      <c r="A38" s="203" t="inlineStr">
        <is>
          <t>Buddy Energy</t>
        </is>
      </c>
      <c r="B38" s="204" t="n">
        <v>46204</v>
      </c>
      <c r="C38" s="205">
        <f>'Budget maj-dec 2026'!D10</f>
        <v/>
      </c>
      <c r="D38" s="205">
        <f>IF('Kassaflöde inmatning'!$E$23="Ja",C38*'Kassaflöde inmatning'!$B$6,0)</f>
        <v/>
      </c>
      <c r="E38" s="203">
        <f>'Kassaflöde inmatning'!$C$23</f>
        <v/>
      </c>
      <c r="F38" s="203">
        <f>'Kassaflöde inmatning'!$D$23</f>
        <v/>
      </c>
      <c r="G38" s="204">
        <f>IF(F38="Månadsslut",EOMONTH(B38,0)+E38,B38+E38)</f>
        <v/>
      </c>
      <c r="H38" s="204">
        <f>DATE(YEAR(G38),MONTH(G38),1)</f>
        <v/>
      </c>
      <c r="I38" s="199" t="n"/>
    </row>
    <row r="39">
      <c r="A39" s="203" t="inlineStr">
        <is>
          <t>Buddy Energy</t>
        </is>
      </c>
      <c r="B39" s="204" t="n">
        <v>46235</v>
      </c>
      <c r="C39" s="205">
        <f>'Budget maj-dec 2026'!E10</f>
        <v/>
      </c>
      <c r="D39" s="205">
        <f>IF('Kassaflöde inmatning'!$E$23="Ja",C39*'Kassaflöde inmatning'!$B$6,0)</f>
        <v/>
      </c>
      <c r="E39" s="203">
        <f>'Kassaflöde inmatning'!$C$23</f>
        <v/>
      </c>
      <c r="F39" s="203">
        <f>'Kassaflöde inmatning'!$D$23</f>
        <v/>
      </c>
      <c r="G39" s="204">
        <f>IF(F39="Månadsslut",EOMONTH(B39,0)+E39,B39+E39)</f>
        <v/>
      </c>
      <c r="H39" s="204">
        <f>DATE(YEAR(G39),MONTH(G39),1)</f>
        <v/>
      </c>
      <c r="I39" s="199" t="n"/>
    </row>
    <row r="40">
      <c r="A40" s="203" t="inlineStr">
        <is>
          <t>Buddy Energy</t>
        </is>
      </c>
      <c r="B40" s="204" t="n">
        <v>46266</v>
      </c>
      <c r="C40" s="205">
        <f>'Budget maj-dec 2026'!F10</f>
        <v/>
      </c>
      <c r="D40" s="205">
        <f>IF('Kassaflöde inmatning'!$E$23="Ja",C40*'Kassaflöde inmatning'!$B$6,0)</f>
        <v/>
      </c>
      <c r="E40" s="203">
        <f>'Kassaflöde inmatning'!$C$23</f>
        <v/>
      </c>
      <c r="F40" s="203">
        <f>'Kassaflöde inmatning'!$D$23</f>
        <v/>
      </c>
      <c r="G40" s="204">
        <f>IF(F40="Månadsslut",EOMONTH(B40,0)+E40,B40+E40)</f>
        <v/>
      </c>
      <c r="H40" s="204">
        <f>DATE(YEAR(G40),MONTH(G40),1)</f>
        <v/>
      </c>
      <c r="I40" s="199" t="n"/>
    </row>
    <row r="41">
      <c r="A41" s="203" t="inlineStr">
        <is>
          <t>Buddy Energy</t>
        </is>
      </c>
      <c r="B41" s="204" t="n">
        <v>46296</v>
      </c>
      <c r="C41" s="205">
        <f>'Budget maj-dec 2026'!G10</f>
        <v/>
      </c>
      <c r="D41" s="205">
        <f>IF('Kassaflöde inmatning'!$E$23="Ja",C41*'Kassaflöde inmatning'!$B$6,0)</f>
        <v/>
      </c>
      <c r="E41" s="203">
        <f>'Kassaflöde inmatning'!$C$23</f>
        <v/>
      </c>
      <c r="F41" s="203">
        <f>'Kassaflöde inmatning'!$D$23</f>
        <v/>
      </c>
      <c r="G41" s="204">
        <f>IF(F41="Månadsslut",EOMONTH(B41,0)+E41,B41+E41)</f>
        <v/>
      </c>
      <c r="H41" s="204">
        <f>DATE(YEAR(G41),MONTH(G41),1)</f>
        <v/>
      </c>
      <c r="I41" s="199" t="n"/>
    </row>
    <row r="42">
      <c r="A42" s="203" t="inlineStr">
        <is>
          <t>Buddy Energy</t>
        </is>
      </c>
      <c r="B42" s="204" t="n">
        <v>46327</v>
      </c>
      <c r="C42" s="205">
        <f>'Budget maj-dec 2026'!H10</f>
        <v/>
      </c>
      <c r="D42" s="205">
        <f>IF('Kassaflöde inmatning'!$E$23="Ja",C42*'Kassaflöde inmatning'!$B$6,0)</f>
        <v/>
      </c>
      <c r="E42" s="203">
        <f>'Kassaflöde inmatning'!$C$23</f>
        <v/>
      </c>
      <c r="F42" s="203">
        <f>'Kassaflöde inmatning'!$D$23</f>
        <v/>
      </c>
      <c r="G42" s="204">
        <f>IF(F42="Månadsslut",EOMONTH(B42,0)+E42,B42+E42)</f>
        <v/>
      </c>
      <c r="H42" s="204">
        <f>DATE(YEAR(G42),MONTH(G42),1)</f>
        <v/>
      </c>
      <c r="I42" s="199" t="n"/>
    </row>
    <row r="43">
      <c r="A43" s="203" t="inlineStr">
        <is>
          <t>Buddy Energy</t>
        </is>
      </c>
      <c r="B43" s="204" t="n">
        <v>46357</v>
      </c>
      <c r="C43" s="205">
        <f>'Budget maj-dec 2026'!I10</f>
        <v/>
      </c>
      <c r="D43" s="205">
        <f>IF('Kassaflöde inmatning'!$E$23="Ja",C43*'Kassaflöde inmatning'!$B$6,0)</f>
        <v/>
      </c>
      <c r="E43" s="203">
        <f>'Kassaflöde inmatning'!$C$23</f>
        <v/>
      </c>
      <c r="F43" s="203">
        <f>'Kassaflöde inmatning'!$D$23</f>
        <v/>
      </c>
      <c r="G43" s="204">
        <f>IF(F43="Månadsslut",EOMONTH(B43,0)+E43,B43+E43)</f>
        <v/>
      </c>
      <c r="H43" s="204">
        <f>DATE(YEAR(G43),MONTH(G43),1)</f>
        <v/>
      </c>
      <c r="I43" s="199" t="n"/>
    </row>
    <row r="44">
      <c r="A44" s="203" t="inlineStr">
        <is>
          <t>Gausta</t>
        </is>
      </c>
      <c r="B44" s="204" t="n">
        <v>46143</v>
      </c>
      <c r="C44" s="205">
        <f>'Budget maj-dec 2026'!B11</f>
        <v/>
      </c>
      <c r="D44" s="205">
        <f>IF('Kassaflöde inmatning'!$E$24="Ja",C44*'Kassaflöde inmatning'!$B$6,0)</f>
        <v/>
      </c>
      <c r="E44" s="203">
        <f>'Kassaflöde inmatning'!$C$24</f>
        <v/>
      </c>
      <c r="F44" s="203">
        <f>'Kassaflöde inmatning'!$D$24</f>
        <v/>
      </c>
      <c r="G44" s="204">
        <f>IF(F44="Månadsslut",EOMONTH(B44,0)+E44,B44+E44)</f>
        <v/>
      </c>
      <c r="H44" s="204">
        <f>DATE(YEAR(G44),MONTH(G44),1)</f>
        <v/>
      </c>
      <c r="I44" s="199" t="n"/>
    </row>
    <row r="45">
      <c r="A45" s="203" t="inlineStr">
        <is>
          <t>Gausta</t>
        </is>
      </c>
      <c r="B45" s="204" t="n">
        <v>46174</v>
      </c>
      <c r="C45" s="205">
        <f>'Budget maj-dec 2026'!C11</f>
        <v/>
      </c>
      <c r="D45" s="205">
        <f>IF('Kassaflöde inmatning'!$E$24="Ja",C45*'Kassaflöde inmatning'!$B$6,0)</f>
        <v/>
      </c>
      <c r="E45" s="203">
        <f>'Kassaflöde inmatning'!$C$24</f>
        <v/>
      </c>
      <c r="F45" s="203">
        <f>'Kassaflöde inmatning'!$D$24</f>
        <v/>
      </c>
      <c r="G45" s="204">
        <f>IF(F45="Månadsslut",EOMONTH(B45,0)+E45,B45+E45)</f>
        <v/>
      </c>
      <c r="H45" s="204">
        <f>DATE(YEAR(G45),MONTH(G45),1)</f>
        <v/>
      </c>
      <c r="I45" s="199" t="n"/>
    </row>
    <row r="46">
      <c r="A46" s="203" t="inlineStr">
        <is>
          <t>Gausta</t>
        </is>
      </c>
      <c r="B46" s="204" t="n">
        <v>46204</v>
      </c>
      <c r="C46" s="205">
        <f>'Budget maj-dec 2026'!D11</f>
        <v/>
      </c>
      <c r="D46" s="205">
        <f>IF('Kassaflöde inmatning'!$E$24="Ja",C46*'Kassaflöde inmatning'!$B$6,0)</f>
        <v/>
      </c>
      <c r="E46" s="203">
        <f>'Kassaflöde inmatning'!$C$24</f>
        <v/>
      </c>
      <c r="F46" s="203">
        <f>'Kassaflöde inmatning'!$D$24</f>
        <v/>
      </c>
      <c r="G46" s="204">
        <f>IF(F46="Månadsslut",EOMONTH(B46,0)+E46,B46+E46)</f>
        <v/>
      </c>
      <c r="H46" s="204">
        <f>DATE(YEAR(G46),MONTH(G46),1)</f>
        <v/>
      </c>
      <c r="I46" s="199" t="n"/>
    </row>
    <row r="47">
      <c r="A47" s="203" t="inlineStr">
        <is>
          <t>Gausta</t>
        </is>
      </c>
      <c r="B47" s="204" t="n">
        <v>46235</v>
      </c>
      <c r="C47" s="205">
        <f>'Budget maj-dec 2026'!E11</f>
        <v/>
      </c>
      <c r="D47" s="205">
        <f>IF('Kassaflöde inmatning'!$E$24="Ja",C47*'Kassaflöde inmatning'!$B$6,0)</f>
        <v/>
      </c>
      <c r="E47" s="203">
        <f>'Kassaflöde inmatning'!$C$24</f>
        <v/>
      </c>
      <c r="F47" s="203">
        <f>'Kassaflöde inmatning'!$D$24</f>
        <v/>
      </c>
      <c r="G47" s="204">
        <f>IF(F47="Månadsslut",EOMONTH(B47,0)+E47,B47+E47)</f>
        <v/>
      </c>
      <c r="H47" s="204">
        <f>DATE(YEAR(G47),MONTH(G47),1)</f>
        <v/>
      </c>
      <c r="I47" s="199" t="n"/>
    </row>
    <row r="48">
      <c r="A48" s="203" t="inlineStr">
        <is>
          <t>Gausta</t>
        </is>
      </c>
      <c r="B48" s="204" t="n">
        <v>46266</v>
      </c>
      <c r="C48" s="205">
        <f>'Budget maj-dec 2026'!F11</f>
        <v/>
      </c>
      <c r="D48" s="205">
        <f>IF('Kassaflöde inmatning'!$E$24="Ja",C48*'Kassaflöde inmatning'!$B$6,0)</f>
        <v/>
      </c>
      <c r="E48" s="203">
        <f>'Kassaflöde inmatning'!$C$24</f>
        <v/>
      </c>
      <c r="F48" s="203">
        <f>'Kassaflöde inmatning'!$D$24</f>
        <v/>
      </c>
      <c r="G48" s="204">
        <f>IF(F48="Månadsslut",EOMONTH(B48,0)+E48,B48+E48)</f>
        <v/>
      </c>
      <c r="H48" s="204">
        <f>DATE(YEAR(G48),MONTH(G48),1)</f>
        <v/>
      </c>
      <c r="I48" s="199" t="n"/>
    </row>
    <row r="49">
      <c r="A49" s="203" t="inlineStr">
        <is>
          <t>Gausta</t>
        </is>
      </c>
      <c r="B49" s="204" t="n">
        <v>46296</v>
      </c>
      <c r="C49" s="205">
        <f>'Budget maj-dec 2026'!G11</f>
        <v/>
      </c>
      <c r="D49" s="205">
        <f>IF('Kassaflöde inmatning'!$E$24="Ja",C49*'Kassaflöde inmatning'!$B$6,0)</f>
        <v/>
      </c>
      <c r="E49" s="203">
        <f>'Kassaflöde inmatning'!$C$24</f>
        <v/>
      </c>
      <c r="F49" s="203">
        <f>'Kassaflöde inmatning'!$D$24</f>
        <v/>
      </c>
      <c r="G49" s="204">
        <f>IF(F49="Månadsslut",EOMONTH(B49,0)+E49,B49+E49)</f>
        <v/>
      </c>
      <c r="H49" s="204">
        <f>DATE(YEAR(G49),MONTH(G49),1)</f>
        <v/>
      </c>
      <c r="I49" s="199" t="n"/>
    </row>
    <row r="50">
      <c r="A50" s="203" t="inlineStr">
        <is>
          <t>Gausta</t>
        </is>
      </c>
      <c r="B50" s="204" t="n">
        <v>46327</v>
      </c>
      <c r="C50" s="205">
        <f>'Budget maj-dec 2026'!H11</f>
        <v/>
      </c>
      <c r="D50" s="205">
        <f>IF('Kassaflöde inmatning'!$E$24="Ja",C50*'Kassaflöde inmatning'!$B$6,0)</f>
        <v/>
      </c>
      <c r="E50" s="203">
        <f>'Kassaflöde inmatning'!$C$24</f>
        <v/>
      </c>
      <c r="F50" s="203">
        <f>'Kassaflöde inmatning'!$D$24</f>
        <v/>
      </c>
      <c r="G50" s="204">
        <f>IF(F50="Månadsslut",EOMONTH(B50,0)+E50,B50+E50)</f>
        <v/>
      </c>
      <c r="H50" s="204">
        <f>DATE(YEAR(G50),MONTH(G50),1)</f>
        <v/>
      </c>
      <c r="I50" s="199" t="n"/>
    </row>
    <row r="51">
      <c r="A51" s="203" t="inlineStr">
        <is>
          <t>Gausta</t>
        </is>
      </c>
      <c r="B51" s="204" t="n">
        <v>46357</v>
      </c>
      <c r="C51" s="205">
        <f>'Budget maj-dec 2026'!I11</f>
        <v/>
      </c>
      <c r="D51" s="205">
        <f>IF('Kassaflöde inmatning'!$E$24="Ja",C51*'Kassaflöde inmatning'!$B$6,0)</f>
        <v/>
      </c>
      <c r="E51" s="203">
        <f>'Kassaflöde inmatning'!$C$24</f>
        <v/>
      </c>
      <c r="F51" s="203">
        <f>'Kassaflöde inmatning'!$D$24</f>
        <v/>
      </c>
      <c r="G51" s="204">
        <f>IF(F51="Månadsslut",EOMONTH(B51,0)+E51,B51+E51)</f>
        <v/>
      </c>
      <c r="H51" s="204">
        <f>DATE(YEAR(G51),MONTH(G51),1)</f>
        <v/>
      </c>
      <c r="I51" s="199" t="n"/>
    </row>
    <row r="52">
      <c r="A52" s="203" t="inlineStr">
        <is>
          <t>Raoul</t>
        </is>
      </c>
      <c r="B52" s="204" t="n">
        <v>46143</v>
      </c>
      <c r="C52" s="205">
        <f>'Budget maj-dec 2026'!B12</f>
        <v/>
      </c>
      <c r="D52" s="205">
        <f>IF('Kassaflöde inmatning'!$E$25="Ja",C52*'Kassaflöde inmatning'!$B$6,0)</f>
        <v/>
      </c>
      <c r="E52" s="203">
        <f>'Kassaflöde inmatning'!$C$25</f>
        <v/>
      </c>
      <c r="F52" s="203">
        <f>'Kassaflöde inmatning'!$D$25</f>
        <v/>
      </c>
      <c r="G52" s="204">
        <f>IF(F52="Månadsslut",EOMONTH(B52,0)+E52,B52+E52)</f>
        <v/>
      </c>
      <c r="H52" s="204">
        <f>DATE(YEAR(G52),MONTH(G52),1)</f>
        <v/>
      </c>
      <c r="I52" s="199" t="n"/>
    </row>
    <row r="53">
      <c r="A53" s="203" t="inlineStr">
        <is>
          <t>Raoul</t>
        </is>
      </c>
      <c r="B53" s="204" t="n">
        <v>46174</v>
      </c>
      <c r="C53" s="205">
        <f>'Budget maj-dec 2026'!C12</f>
        <v/>
      </c>
      <c r="D53" s="205">
        <f>IF('Kassaflöde inmatning'!$E$25="Ja",C53*'Kassaflöde inmatning'!$B$6,0)</f>
        <v/>
      </c>
      <c r="E53" s="203">
        <f>'Kassaflöde inmatning'!$C$25</f>
        <v/>
      </c>
      <c r="F53" s="203">
        <f>'Kassaflöde inmatning'!$D$25</f>
        <v/>
      </c>
      <c r="G53" s="204">
        <f>IF(F53="Månadsslut",EOMONTH(B53,0)+E53,B53+E53)</f>
        <v/>
      </c>
      <c r="H53" s="204">
        <f>DATE(YEAR(G53),MONTH(G53),1)</f>
        <v/>
      </c>
      <c r="I53" s="199" t="n"/>
    </row>
    <row r="54">
      <c r="A54" s="203" t="inlineStr">
        <is>
          <t>Raoul</t>
        </is>
      </c>
      <c r="B54" s="204" t="n">
        <v>46204</v>
      </c>
      <c r="C54" s="205">
        <f>'Budget maj-dec 2026'!D12</f>
        <v/>
      </c>
      <c r="D54" s="205">
        <f>IF('Kassaflöde inmatning'!$E$25="Ja",C54*'Kassaflöde inmatning'!$B$6,0)</f>
        <v/>
      </c>
      <c r="E54" s="203">
        <f>'Kassaflöde inmatning'!$C$25</f>
        <v/>
      </c>
      <c r="F54" s="203">
        <f>'Kassaflöde inmatning'!$D$25</f>
        <v/>
      </c>
      <c r="G54" s="204">
        <f>IF(F54="Månadsslut",EOMONTH(B54,0)+E54,B54+E54)</f>
        <v/>
      </c>
      <c r="H54" s="204">
        <f>DATE(YEAR(G54),MONTH(G54),1)</f>
        <v/>
      </c>
      <c r="I54" s="199" t="n"/>
    </row>
    <row r="55">
      <c r="A55" s="203" t="inlineStr">
        <is>
          <t>Raoul</t>
        </is>
      </c>
      <c r="B55" s="204" t="n">
        <v>46235</v>
      </c>
      <c r="C55" s="205">
        <f>'Budget maj-dec 2026'!E12</f>
        <v/>
      </c>
      <c r="D55" s="205">
        <f>IF('Kassaflöde inmatning'!$E$25="Ja",C55*'Kassaflöde inmatning'!$B$6,0)</f>
        <v/>
      </c>
      <c r="E55" s="203">
        <f>'Kassaflöde inmatning'!$C$25</f>
        <v/>
      </c>
      <c r="F55" s="203">
        <f>'Kassaflöde inmatning'!$D$25</f>
        <v/>
      </c>
      <c r="G55" s="204">
        <f>IF(F55="Månadsslut",EOMONTH(B55,0)+E55,B55+E55)</f>
        <v/>
      </c>
      <c r="H55" s="204">
        <f>DATE(YEAR(G55),MONTH(G55),1)</f>
        <v/>
      </c>
      <c r="I55" s="199" t="n"/>
    </row>
    <row r="56">
      <c r="A56" s="203" t="inlineStr">
        <is>
          <t>Raoul</t>
        </is>
      </c>
      <c r="B56" s="204" t="n">
        <v>46266</v>
      </c>
      <c r="C56" s="205">
        <f>'Budget maj-dec 2026'!F12</f>
        <v/>
      </c>
      <c r="D56" s="205">
        <f>IF('Kassaflöde inmatning'!$E$25="Ja",C56*'Kassaflöde inmatning'!$B$6,0)</f>
        <v/>
      </c>
      <c r="E56" s="203">
        <f>'Kassaflöde inmatning'!$C$25</f>
        <v/>
      </c>
      <c r="F56" s="203">
        <f>'Kassaflöde inmatning'!$D$25</f>
        <v/>
      </c>
      <c r="G56" s="204">
        <f>IF(F56="Månadsslut",EOMONTH(B56,0)+E56,B56+E56)</f>
        <v/>
      </c>
      <c r="H56" s="204">
        <f>DATE(YEAR(G56),MONTH(G56),1)</f>
        <v/>
      </c>
      <c r="I56" s="199" t="n"/>
    </row>
    <row r="57">
      <c r="A57" s="203" t="inlineStr">
        <is>
          <t>Raoul</t>
        </is>
      </c>
      <c r="B57" s="204" t="n">
        <v>46296</v>
      </c>
      <c r="C57" s="205">
        <f>'Budget maj-dec 2026'!G12</f>
        <v/>
      </c>
      <c r="D57" s="205">
        <f>IF('Kassaflöde inmatning'!$E$25="Ja",C57*'Kassaflöde inmatning'!$B$6,0)</f>
        <v/>
      </c>
      <c r="E57" s="203">
        <f>'Kassaflöde inmatning'!$C$25</f>
        <v/>
      </c>
      <c r="F57" s="203">
        <f>'Kassaflöde inmatning'!$D$25</f>
        <v/>
      </c>
      <c r="G57" s="204">
        <f>IF(F57="Månadsslut",EOMONTH(B57,0)+E57,B57+E57)</f>
        <v/>
      </c>
      <c r="H57" s="204">
        <f>DATE(YEAR(G57),MONTH(G57),1)</f>
        <v/>
      </c>
      <c r="I57" s="199" t="n"/>
    </row>
    <row r="58">
      <c r="A58" s="203" t="inlineStr">
        <is>
          <t>Raoul</t>
        </is>
      </c>
      <c r="B58" s="204" t="n">
        <v>46327</v>
      </c>
      <c r="C58" s="205">
        <f>'Budget maj-dec 2026'!H12</f>
        <v/>
      </c>
      <c r="D58" s="205">
        <f>IF('Kassaflöde inmatning'!$E$25="Ja",C58*'Kassaflöde inmatning'!$B$6,0)</f>
        <v/>
      </c>
      <c r="E58" s="203">
        <f>'Kassaflöde inmatning'!$C$25</f>
        <v/>
      </c>
      <c r="F58" s="203">
        <f>'Kassaflöde inmatning'!$D$25</f>
        <v/>
      </c>
      <c r="G58" s="204">
        <f>IF(F58="Månadsslut",EOMONTH(B58,0)+E58,B58+E58)</f>
        <v/>
      </c>
      <c r="H58" s="204">
        <f>DATE(YEAR(G58),MONTH(G58),1)</f>
        <v/>
      </c>
      <c r="I58" s="199" t="n"/>
    </row>
    <row r="59">
      <c r="A59" s="203" t="inlineStr">
        <is>
          <t>Raoul</t>
        </is>
      </c>
      <c r="B59" s="204" t="n">
        <v>46357</v>
      </c>
      <c r="C59" s="205">
        <f>'Budget maj-dec 2026'!I12</f>
        <v/>
      </c>
      <c r="D59" s="205">
        <f>IF('Kassaflöde inmatning'!$E$25="Ja",C59*'Kassaflöde inmatning'!$B$6,0)</f>
        <v/>
      </c>
      <c r="E59" s="203">
        <f>'Kassaflöde inmatning'!$C$25</f>
        <v/>
      </c>
      <c r="F59" s="203">
        <f>'Kassaflöde inmatning'!$D$25</f>
        <v/>
      </c>
      <c r="G59" s="204">
        <f>IF(F59="Månadsslut",EOMONTH(B59,0)+E59,B59+E59)</f>
        <v/>
      </c>
      <c r="H59" s="204">
        <f>DATE(YEAR(G59),MONTH(G59),1)</f>
        <v/>
      </c>
      <c r="I59" s="199" t="n"/>
    </row>
    <row r="60">
      <c r="A60" s="203" t="inlineStr">
        <is>
          <t>MedChain</t>
        </is>
      </c>
      <c r="B60" s="204" t="n">
        <v>46143</v>
      </c>
      <c r="C60" s="205">
        <f>'Budget maj-dec 2026'!B13</f>
        <v/>
      </c>
      <c r="D60" s="205">
        <f>IF('Kassaflöde inmatning'!$E$26="Ja",C60*'Kassaflöde inmatning'!$B$6,0)</f>
        <v/>
      </c>
      <c r="E60" s="203">
        <f>'Kassaflöde inmatning'!$C$26</f>
        <v/>
      </c>
      <c r="F60" s="203">
        <f>'Kassaflöde inmatning'!$D$26</f>
        <v/>
      </c>
      <c r="G60" s="204">
        <f>IF(F60="Månadsslut",EOMONTH(B60,0)+E60,B60+E60)</f>
        <v/>
      </c>
      <c r="H60" s="204">
        <f>DATE(YEAR(G60),MONTH(G60),1)</f>
        <v/>
      </c>
      <c r="I60" s="199" t="n"/>
    </row>
    <row r="61">
      <c r="A61" s="203" t="inlineStr">
        <is>
          <t>MedChain</t>
        </is>
      </c>
      <c r="B61" s="204" t="n">
        <v>46174</v>
      </c>
      <c r="C61" s="205">
        <f>'Budget maj-dec 2026'!C13</f>
        <v/>
      </c>
      <c r="D61" s="205">
        <f>IF('Kassaflöde inmatning'!$E$26="Ja",C61*'Kassaflöde inmatning'!$B$6,0)</f>
        <v/>
      </c>
      <c r="E61" s="203">
        <f>'Kassaflöde inmatning'!$C$26</f>
        <v/>
      </c>
      <c r="F61" s="203">
        <f>'Kassaflöde inmatning'!$D$26</f>
        <v/>
      </c>
      <c r="G61" s="204">
        <f>IF(F61="Månadsslut",EOMONTH(B61,0)+E61,B61+E61)</f>
        <v/>
      </c>
      <c r="H61" s="204">
        <f>DATE(YEAR(G61),MONTH(G61),1)</f>
        <v/>
      </c>
      <c r="I61" s="199" t="n"/>
    </row>
    <row r="62">
      <c r="A62" s="203" t="inlineStr">
        <is>
          <t>MedChain</t>
        </is>
      </c>
      <c r="B62" s="204" t="n">
        <v>46204</v>
      </c>
      <c r="C62" s="205">
        <f>'Budget maj-dec 2026'!D13</f>
        <v/>
      </c>
      <c r="D62" s="205">
        <f>IF('Kassaflöde inmatning'!$E$26="Ja",C62*'Kassaflöde inmatning'!$B$6,0)</f>
        <v/>
      </c>
      <c r="E62" s="203">
        <f>'Kassaflöde inmatning'!$C$26</f>
        <v/>
      </c>
      <c r="F62" s="203">
        <f>'Kassaflöde inmatning'!$D$26</f>
        <v/>
      </c>
      <c r="G62" s="204">
        <f>IF(F62="Månadsslut",EOMONTH(B62,0)+E62,B62+E62)</f>
        <v/>
      </c>
      <c r="H62" s="204">
        <f>DATE(YEAR(G62),MONTH(G62),1)</f>
        <v/>
      </c>
      <c r="I62" s="199" t="n"/>
    </row>
    <row r="63">
      <c r="A63" s="203" t="inlineStr">
        <is>
          <t>MedChain</t>
        </is>
      </c>
      <c r="B63" s="204" t="n">
        <v>46235</v>
      </c>
      <c r="C63" s="205">
        <f>'Budget maj-dec 2026'!E13</f>
        <v/>
      </c>
      <c r="D63" s="205">
        <f>IF('Kassaflöde inmatning'!$E$26="Ja",C63*'Kassaflöde inmatning'!$B$6,0)</f>
        <v/>
      </c>
      <c r="E63" s="203">
        <f>'Kassaflöde inmatning'!$C$26</f>
        <v/>
      </c>
      <c r="F63" s="203">
        <f>'Kassaflöde inmatning'!$D$26</f>
        <v/>
      </c>
      <c r="G63" s="204">
        <f>IF(F63="Månadsslut",EOMONTH(B63,0)+E63,B63+E63)</f>
        <v/>
      </c>
      <c r="H63" s="204">
        <f>DATE(YEAR(G63),MONTH(G63),1)</f>
        <v/>
      </c>
      <c r="I63" s="199" t="n"/>
    </row>
    <row r="64">
      <c r="A64" s="203" t="inlineStr">
        <is>
          <t>MedChain</t>
        </is>
      </c>
      <c r="B64" s="204" t="n">
        <v>46266</v>
      </c>
      <c r="C64" s="205">
        <f>'Budget maj-dec 2026'!F13</f>
        <v/>
      </c>
      <c r="D64" s="205">
        <f>IF('Kassaflöde inmatning'!$E$26="Ja",C64*'Kassaflöde inmatning'!$B$6,0)</f>
        <v/>
      </c>
      <c r="E64" s="203">
        <f>'Kassaflöde inmatning'!$C$26</f>
        <v/>
      </c>
      <c r="F64" s="203">
        <f>'Kassaflöde inmatning'!$D$26</f>
        <v/>
      </c>
      <c r="G64" s="204">
        <f>IF(F64="Månadsslut",EOMONTH(B64,0)+E64,B64+E64)</f>
        <v/>
      </c>
      <c r="H64" s="204">
        <f>DATE(YEAR(G64),MONTH(G64),1)</f>
        <v/>
      </c>
      <c r="I64" s="199" t="n"/>
    </row>
    <row r="65">
      <c r="A65" s="203" t="inlineStr">
        <is>
          <t>MedChain</t>
        </is>
      </c>
      <c r="B65" s="204" t="n">
        <v>46296</v>
      </c>
      <c r="C65" s="205">
        <f>'Budget maj-dec 2026'!G13</f>
        <v/>
      </c>
      <c r="D65" s="205">
        <f>IF('Kassaflöde inmatning'!$E$26="Ja",C65*'Kassaflöde inmatning'!$B$6,0)</f>
        <v/>
      </c>
      <c r="E65" s="203">
        <f>'Kassaflöde inmatning'!$C$26</f>
        <v/>
      </c>
      <c r="F65" s="203">
        <f>'Kassaflöde inmatning'!$D$26</f>
        <v/>
      </c>
      <c r="G65" s="204">
        <f>IF(F65="Månadsslut",EOMONTH(B65,0)+E65,B65+E65)</f>
        <v/>
      </c>
      <c r="H65" s="204">
        <f>DATE(YEAR(G65),MONTH(G65),1)</f>
        <v/>
      </c>
      <c r="I65" s="199" t="n"/>
    </row>
    <row r="66">
      <c r="A66" s="203" t="inlineStr">
        <is>
          <t>MedChain</t>
        </is>
      </c>
      <c r="B66" s="204" t="n">
        <v>46327</v>
      </c>
      <c r="C66" s="205">
        <f>'Budget maj-dec 2026'!H13</f>
        <v/>
      </c>
      <c r="D66" s="205">
        <f>IF('Kassaflöde inmatning'!$E$26="Ja",C66*'Kassaflöde inmatning'!$B$6,0)</f>
        <v/>
      </c>
      <c r="E66" s="203">
        <f>'Kassaflöde inmatning'!$C$26</f>
        <v/>
      </c>
      <c r="F66" s="203">
        <f>'Kassaflöde inmatning'!$D$26</f>
        <v/>
      </c>
      <c r="G66" s="204">
        <f>IF(F66="Månadsslut",EOMONTH(B66,0)+E66,B66+E66)</f>
        <v/>
      </c>
      <c r="H66" s="204">
        <f>DATE(YEAR(G66),MONTH(G66),1)</f>
        <v/>
      </c>
      <c r="I66" s="199" t="n"/>
    </row>
    <row r="67">
      <c r="A67" s="203" t="inlineStr">
        <is>
          <t>MedChain</t>
        </is>
      </c>
      <c r="B67" s="204" t="n">
        <v>46357</v>
      </c>
      <c r="C67" s="205">
        <f>'Budget maj-dec 2026'!I13</f>
        <v/>
      </c>
      <c r="D67" s="205">
        <f>IF('Kassaflöde inmatning'!$E$26="Ja",C67*'Kassaflöde inmatning'!$B$6,0)</f>
        <v/>
      </c>
      <c r="E67" s="203">
        <f>'Kassaflöde inmatning'!$C$26</f>
        <v/>
      </c>
      <c r="F67" s="203">
        <f>'Kassaflöde inmatning'!$D$26</f>
        <v/>
      </c>
      <c r="G67" s="204">
        <f>IF(F67="Månadsslut",EOMONTH(B67,0)+E67,B67+E67)</f>
        <v/>
      </c>
      <c r="H67" s="204">
        <f>DATE(YEAR(G67),MONTH(G67),1)</f>
        <v/>
      </c>
      <c r="I67" s="199" t="n"/>
    </row>
    <row r="68">
      <c r="A68" s="203" t="inlineStr">
        <is>
          <t>Internetmedicin</t>
        </is>
      </c>
      <c r="B68" s="204" t="n">
        <v>46143</v>
      </c>
      <c r="C68" s="205">
        <f>'Budget maj-dec 2026'!B14</f>
        <v/>
      </c>
      <c r="D68" s="205">
        <f>IF('Kassaflöde inmatning'!$E$27="Ja",C68*'Kassaflöde inmatning'!$B$6,0)</f>
        <v/>
      </c>
      <c r="E68" s="203">
        <f>'Kassaflöde inmatning'!$C$27</f>
        <v/>
      </c>
      <c r="F68" s="203">
        <f>'Kassaflöde inmatning'!$D$27</f>
        <v/>
      </c>
      <c r="G68" s="204">
        <f>IF(F68="Månadsslut",EOMONTH(B68,0)+E68,B68+E68)</f>
        <v/>
      </c>
      <c r="H68" s="204">
        <f>DATE(YEAR(G68),MONTH(G68),1)</f>
        <v/>
      </c>
      <c r="I68" s="199" t="n"/>
    </row>
    <row r="69">
      <c r="A69" s="203" t="inlineStr">
        <is>
          <t>Internetmedicin</t>
        </is>
      </c>
      <c r="B69" s="204" t="n">
        <v>46174</v>
      </c>
      <c r="C69" s="205">
        <f>'Budget maj-dec 2026'!C14</f>
        <v/>
      </c>
      <c r="D69" s="205">
        <f>IF('Kassaflöde inmatning'!$E$27="Ja",C69*'Kassaflöde inmatning'!$B$6,0)</f>
        <v/>
      </c>
      <c r="E69" s="203">
        <f>'Kassaflöde inmatning'!$C$27</f>
        <v/>
      </c>
      <c r="F69" s="203">
        <f>'Kassaflöde inmatning'!$D$27</f>
        <v/>
      </c>
      <c r="G69" s="204">
        <f>IF(F69="Månadsslut",EOMONTH(B69,0)+E69,B69+E69)</f>
        <v/>
      </c>
      <c r="H69" s="204">
        <f>DATE(YEAR(G69),MONTH(G69),1)</f>
        <v/>
      </c>
      <c r="I69" s="199" t="n"/>
    </row>
    <row r="70">
      <c r="A70" s="203" t="inlineStr">
        <is>
          <t>Internetmedicin</t>
        </is>
      </c>
      <c r="B70" s="204" t="n">
        <v>46204</v>
      </c>
      <c r="C70" s="205">
        <f>'Budget maj-dec 2026'!D14</f>
        <v/>
      </c>
      <c r="D70" s="205">
        <f>IF('Kassaflöde inmatning'!$E$27="Ja",C70*'Kassaflöde inmatning'!$B$6,0)</f>
        <v/>
      </c>
      <c r="E70" s="203">
        <f>'Kassaflöde inmatning'!$C$27</f>
        <v/>
      </c>
      <c r="F70" s="203">
        <f>'Kassaflöde inmatning'!$D$27</f>
        <v/>
      </c>
      <c r="G70" s="204">
        <f>IF(F70="Månadsslut",EOMONTH(B70,0)+E70,B70+E70)</f>
        <v/>
      </c>
      <c r="H70" s="204">
        <f>DATE(YEAR(G70),MONTH(G70),1)</f>
        <v/>
      </c>
      <c r="I70" s="199" t="n"/>
    </row>
    <row r="71">
      <c r="A71" s="203" t="inlineStr">
        <is>
          <t>Internetmedicin</t>
        </is>
      </c>
      <c r="B71" s="204" t="n">
        <v>46235</v>
      </c>
      <c r="C71" s="205">
        <f>'Budget maj-dec 2026'!E14</f>
        <v/>
      </c>
      <c r="D71" s="205">
        <f>IF('Kassaflöde inmatning'!$E$27="Ja",C71*'Kassaflöde inmatning'!$B$6,0)</f>
        <v/>
      </c>
      <c r="E71" s="203">
        <f>'Kassaflöde inmatning'!$C$27</f>
        <v/>
      </c>
      <c r="F71" s="203">
        <f>'Kassaflöde inmatning'!$D$27</f>
        <v/>
      </c>
      <c r="G71" s="204">
        <f>IF(F71="Månadsslut",EOMONTH(B71,0)+E71,B71+E71)</f>
        <v/>
      </c>
      <c r="H71" s="204">
        <f>DATE(YEAR(G71),MONTH(G71),1)</f>
        <v/>
      </c>
      <c r="I71" s="199" t="n"/>
    </row>
    <row r="72">
      <c r="A72" s="203" t="inlineStr">
        <is>
          <t>Internetmedicin</t>
        </is>
      </c>
      <c r="B72" s="204" t="n">
        <v>46266</v>
      </c>
      <c r="C72" s="205">
        <f>'Budget maj-dec 2026'!F14</f>
        <v/>
      </c>
      <c r="D72" s="205">
        <f>IF('Kassaflöde inmatning'!$E$27="Ja",C72*'Kassaflöde inmatning'!$B$6,0)</f>
        <v/>
      </c>
      <c r="E72" s="203">
        <f>'Kassaflöde inmatning'!$C$27</f>
        <v/>
      </c>
      <c r="F72" s="203">
        <f>'Kassaflöde inmatning'!$D$27</f>
        <v/>
      </c>
      <c r="G72" s="204">
        <f>IF(F72="Månadsslut",EOMONTH(B72,0)+E72,B72+E72)</f>
        <v/>
      </c>
      <c r="H72" s="204">
        <f>DATE(YEAR(G72),MONTH(G72),1)</f>
        <v/>
      </c>
      <c r="I72" s="199" t="n"/>
    </row>
    <row r="73">
      <c r="A73" s="203" t="inlineStr">
        <is>
          <t>Internetmedicin</t>
        </is>
      </c>
      <c r="B73" s="204" t="n">
        <v>46296</v>
      </c>
      <c r="C73" s="205">
        <f>'Budget maj-dec 2026'!G14</f>
        <v/>
      </c>
      <c r="D73" s="205">
        <f>IF('Kassaflöde inmatning'!$E$27="Ja",C73*'Kassaflöde inmatning'!$B$6,0)</f>
        <v/>
      </c>
      <c r="E73" s="203">
        <f>'Kassaflöde inmatning'!$C$27</f>
        <v/>
      </c>
      <c r="F73" s="203">
        <f>'Kassaflöde inmatning'!$D$27</f>
        <v/>
      </c>
      <c r="G73" s="204">
        <f>IF(F73="Månadsslut",EOMONTH(B73,0)+E73,B73+E73)</f>
        <v/>
      </c>
      <c r="H73" s="204">
        <f>DATE(YEAR(G73),MONTH(G73),1)</f>
        <v/>
      </c>
      <c r="I73" s="199" t="n"/>
    </row>
    <row r="74">
      <c r="A74" s="203" t="inlineStr">
        <is>
          <t>Internetmedicin</t>
        </is>
      </c>
      <c r="B74" s="204" t="n">
        <v>46327</v>
      </c>
      <c r="C74" s="205">
        <f>'Budget maj-dec 2026'!H14</f>
        <v/>
      </c>
      <c r="D74" s="205">
        <f>IF('Kassaflöde inmatning'!$E$27="Ja",C74*'Kassaflöde inmatning'!$B$6,0)</f>
        <v/>
      </c>
      <c r="E74" s="203">
        <f>'Kassaflöde inmatning'!$C$27</f>
        <v/>
      </c>
      <c r="F74" s="203">
        <f>'Kassaflöde inmatning'!$D$27</f>
        <v/>
      </c>
      <c r="G74" s="204">
        <f>IF(F74="Månadsslut",EOMONTH(B74,0)+E74,B74+E74)</f>
        <v/>
      </c>
      <c r="H74" s="204">
        <f>DATE(YEAR(G74),MONTH(G74),1)</f>
        <v/>
      </c>
      <c r="I74" s="199" t="n"/>
    </row>
    <row r="75">
      <c r="A75" s="203" t="inlineStr">
        <is>
          <t>Internetmedicin</t>
        </is>
      </c>
      <c r="B75" s="204" t="n">
        <v>46357</v>
      </c>
      <c r="C75" s="205">
        <f>'Budget maj-dec 2026'!I14</f>
        <v/>
      </c>
      <c r="D75" s="205">
        <f>IF('Kassaflöde inmatning'!$E$27="Ja",C75*'Kassaflöde inmatning'!$B$6,0)</f>
        <v/>
      </c>
      <c r="E75" s="203">
        <f>'Kassaflöde inmatning'!$C$27</f>
        <v/>
      </c>
      <c r="F75" s="203">
        <f>'Kassaflöde inmatning'!$D$27</f>
        <v/>
      </c>
      <c r="G75" s="204">
        <f>IF(F75="Månadsslut",EOMONTH(B75,0)+E75,B75+E75)</f>
        <v/>
      </c>
      <c r="H75" s="204">
        <f>DATE(YEAR(G75),MONTH(G75),1)</f>
        <v/>
      </c>
      <c r="I75" s="199" t="n"/>
    </row>
    <row r="76">
      <c r="A76" s="203" t="inlineStr">
        <is>
          <t>Fragus?</t>
        </is>
      </c>
      <c r="B76" s="204" t="n">
        <v>46143</v>
      </c>
      <c r="C76" s="205">
        <f>'Budget maj-dec 2026'!B15</f>
        <v/>
      </c>
      <c r="D76" s="205">
        <f>IF('Kassaflöde inmatning'!$E$28="Ja",C76*'Kassaflöde inmatning'!$B$6,0)</f>
        <v/>
      </c>
      <c r="E76" s="203">
        <f>'Kassaflöde inmatning'!$C$28</f>
        <v/>
      </c>
      <c r="F76" s="203">
        <f>'Kassaflöde inmatning'!$D$28</f>
        <v/>
      </c>
      <c r="G76" s="204">
        <f>IF(F76="Månadsslut",EOMONTH(B76,0)+E76,B76+E76)</f>
        <v/>
      </c>
      <c r="H76" s="204">
        <f>DATE(YEAR(G76),MONTH(G76),1)</f>
        <v/>
      </c>
      <c r="I76" s="199" t="n"/>
    </row>
    <row r="77">
      <c r="A77" s="203" t="inlineStr">
        <is>
          <t>Fragus?</t>
        </is>
      </c>
      <c r="B77" s="204" t="n">
        <v>46174</v>
      </c>
      <c r="C77" s="205">
        <f>'Budget maj-dec 2026'!C15</f>
        <v/>
      </c>
      <c r="D77" s="205">
        <f>IF('Kassaflöde inmatning'!$E$28="Ja",C77*'Kassaflöde inmatning'!$B$6,0)</f>
        <v/>
      </c>
      <c r="E77" s="203">
        <f>'Kassaflöde inmatning'!$C$28</f>
        <v/>
      </c>
      <c r="F77" s="203">
        <f>'Kassaflöde inmatning'!$D$28</f>
        <v/>
      </c>
      <c r="G77" s="204">
        <f>IF(F77="Månadsslut",EOMONTH(B77,0)+E77,B77+E77)</f>
        <v/>
      </c>
      <c r="H77" s="204">
        <f>DATE(YEAR(G77),MONTH(G77),1)</f>
        <v/>
      </c>
      <c r="I77" s="199" t="n"/>
    </row>
    <row r="78">
      <c r="A78" s="203" t="inlineStr">
        <is>
          <t>Fragus?</t>
        </is>
      </c>
      <c r="B78" s="204" t="n">
        <v>46204</v>
      </c>
      <c r="C78" s="205">
        <f>'Budget maj-dec 2026'!D15</f>
        <v/>
      </c>
      <c r="D78" s="205">
        <f>IF('Kassaflöde inmatning'!$E$28="Ja",C78*'Kassaflöde inmatning'!$B$6,0)</f>
        <v/>
      </c>
      <c r="E78" s="203">
        <f>'Kassaflöde inmatning'!$C$28</f>
        <v/>
      </c>
      <c r="F78" s="203">
        <f>'Kassaflöde inmatning'!$D$28</f>
        <v/>
      </c>
      <c r="G78" s="204">
        <f>IF(F78="Månadsslut",EOMONTH(B78,0)+E78,B78+E78)</f>
        <v/>
      </c>
      <c r="H78" s="204">
        <f>DATE(YEAR(G78),MONTH(G78),1)</f>
        <v/>
      </c>
      <c r="I78" s="199" t="n"/>
    </row>
    <row r="79">
      <c r="A79" s="203" t="inlineStr">
        <is>
          <t>Fragus?</t>
        </is>
      </c>
      <c r="B79" s="204" t="n">
        <v>46235</v>
      </c>
      <c r="C79" s="205">
        <f>'Budget maj-dec 2026'!E15</f>
        <v/>
      </c>
      <c r="D79" s="205">
        <f>IF('Kassaflöde inmatning'!$E$28="Ja",C79*'Kassaflöde inmatning'!$B$6,0)</f>
        <v/>
      </c>
      <c r="E79" s="203">
        <f>'Kassaflöde inmatning'!$C$28</f>
        <v/>
      </c>
      <c r="F79" s="203">
        <f>'Kassaflöde inmatning'!$D$28</f>
        <v/>
      </c>
      <c r="G79" s="204">
        <f>IF(F79="Månadsslut",EOMONTH(B79,0)+E79,B79+E79)</f>
        <v/>
      </c>
      <c r="H79" s="204">
        <f>DATE(YEAR(G79),MONTH(G79),1)</f>
        <v/>
      </c>
      <c r="I79" s="199" t="n"/>
    </row>
    <row r="80">
      <c r="A80" s="203" t="inlineStr">
        <is>
          <t>Fragus?</t>
        </is>
      </c>
      <c r="B80" s="204" t="n">
        <v>46266</v>
      </c>
      <c r="C80" s="205">
        <f>'Budget maj-dec 2026'!F15</f>
        <v/>
      </c>
      <c r="D80" s="205">
        <f>IF('Kassaflöde inmatning'!$E$28="Ja",C80*'Kassaflöde inmatning'!$B$6,0)</f>
        <v/>
      </c>
      <c r="E80" s="203">
        <f>'Kassaflöde inmatning'!$C$28</f>
        <v/>
      </c>
      <c r="F80" s="203">
        <f>'Kassaflöde inmatning'!$D$28</f>
        <v/>
      </c>
      <c r="G80" s="204">
        <f>IF(F80="Månadsslut",EOMONTH(B80,0)+E80,B80+E80)</f>
        <v/>
      </c>
      <c r="H80" s="204">
        <f>DATE(YEAR(G80),MONTH(G80),1)</f>
        <v/>
      </c>
      <c r="I80" s="199" t="n"/>
    </row>
    <row r="81">
      <c r="A81" s="203" t="inlineStr">
        <is>
          <t>Fragus?</t>
        </is>
      </c>
      <c r="B81" s="204" t="n">
        <v>46296</v>
      </c>
      <c r="C81" s="205">
        <f>'Budget maj-dec 2026'!G15</f>
        <v/>
      </c>
      <c r="D81" s="205">
        <f>IF('Kassaflöde inmatning'!$E$28="Ja",C81*'Kassaflöde inmatning'!$B$6,0)</f>
        <v/>
      </c>
      <c r="E81" s="203">
        <f>'Kassaflöde inmatning'!$C$28</f>
        <v/>
      </c>
      <c r="F81" s="203">
        <f>'Kassaflöde inmatning'!$D$28</f>
        <v/>
      </c>
      <c r="G81" s="204">
        <f>IF(F81="Månadsslut",EOMONTH(B81,0)+E81,B81+E81)</f>
        <v/>
      </c>
      <c r="H81" s="204">
        <f>DATE(YEAR(G81),MONTH(G81),1)</f>
        <v/>
      </c>
      <c r="I81" s="199" t="n"/>
    </row>
    <row r="82">
      <c r="A82" s="203" t="inlineStr">
        <is>
          <t>Fragus?</t>
        </is>
      </c>
      <c r="B82" s="204" t="n">
        <v>46327</v>
      </c>
      <c r="C82" s="205">
        <f>'Budget maj-dec 2026'!H15</f>
        <v/>
      </c>
      <c r="D82" s="205">
        <f>IF('Kassaflöde inmatning'!$E$28="Ja",C82*'Kassaflöde inmatning'!$B$6,0)</f>
        <v/>
      </c>
      <c r="E82" s="203">
        <f>'Kassaflöde inmatning'!$C$28</f>
        <v/>
      </c>
      <c r="F82" s="203">
        <f>'Kassaflöde inmatning'!$D$28</f>
        <v/>
      </c>
      <c r="G82" s="204">
        <f>IF(F82="Månadsslut",EOMONTH(B82,0)+E82,B82+E82)</f>
        <v/>
      </c>
      <c r="H82" s="204">
        <f>DATE(YEAR(G82),MONTH(G82),1)</f>
        <v/>
      </c>
      <c r="I82" s="199" t="n"/>
    </row>
    <row r="83">
      <c r="A83" s="203" t="inlineStr">
        <is>
          <t>Fragus?</t>
        </is>
      </c>
      <c r="B83" s="204" t="n">
        <v>46357</v>
      </c>
      <c r="C83" s="205">
        <f>'Budget maj-dec 2026'!I15</f>
        <v/>
      </c>
      <c r="D83" s="205">
        <f>IF('Kassaflöde inmatning'!$E$28="Ja",C83*'Kassaflöde inmatning'!$B$6,0)</f>
        <v/>
      </c>
      <c r="E83" s="203">
        <f>'Kassaflöde inmatning'!$C$28</f>
        <v/>
      </c>
      <c r="F83" s="203">
        <f>'Kassaflöde inmatning'!$D$28</f>
        <v/>
      </c>
      <c r="G83" s="204">
        <f>IF(F83="Månadsslut",EOMONTH(B83,0)+E83,B83+E83)</f>
        <v/>
      </c>
      <c r="H83" s="204">
        <f>DATE(YEAR(G83),MONTH(G83),1)</f>
        <v/>
      </c>
      <c r="I83" s="199" t="n"/>
    </row>
    <row r="84">
      <c r="A84" s="203" t="inlineStr">
        <is>
          <t>Obenämnd kund 3</t>
        </is>
      </c>
      <c r="B84" s="204" t="n">
        <v>46143</v>
      </c>
      <c r="C84" s="205">
        <f>'Budget maj-dec 2026'!B16</f>
        <v/>
      </c>
      <c r="D84" s="205">
        <f>IF('Kassaflöde inmatning'!$E$29="Ja",C84*'Kassaflöde inmatning'!$B$6,0)</f>
        <v/>
      </c>
      <c r="E84" s="203">
        <f>'Kassaflöde inmatning'!$C$29</f>
        <v/>
      </c>
      <c r="F84" s="203">
        <f>'Kassaflöde inmatning'!$D$29</f>
        <v/>
      </c>
      <c r="G84" s="204">
        <f>IF(F84="Månadsslut",EOMONTH(B84,0)+E84,B84+E84)</f>
        <v/>
      </c>
      <c r="H84" s="204">
        <f>DATE(YEAR(G84),MONTH(G84),1)</f>
        <v/>
      </c>
      <c r="I84" s="199" t="n"/>
    </row>
    <row r="85">
      <c r="A85" s="203" t="inlineStr">
        <is>
          <t>Obenämnd kund 3</t>
        </is>
      </c>
      <c r="B85" s="204" t="n">
        <v>46174</v>
      </c>
      <c r="C85" s="205">
        <f>'Budget maj-dec 2026'!C16</f>
        <v/>
      </c>
      <c r="D85" s="205">
        <f>IF('Kassaflöde inmatning'!$E$29="Ja",C85*'Kassaflöde inmatning'!$B$6,0)</f>
        <v/>
      </c>
      <c r="E85" s="203">
        <f>'Kassaflöde inmatning'!$C$29</f>
        <v/>
      </c>
      <c r="F85" s="203">
        <f>'Kassaflöde inmatning'!$D$29</f>
        <v/>
      </c>
      <c r="G85" s="204">
        <f>IF(F85="Månadsslut",EOMONTH(B85,0)+E85,B85+E85)</f>
        <v/>
      </c>
      <c r="H85" s="204">
        <f>DATE(YEAR(G85),MONTH(G85),1)</f>
        <v/>
      </c>
      <c r="I85" s="199" t="n"/>
    </row>
    <row r="86">
      <c r="A86" s="203" t="inlineStr">
        <is>
          <t>Obenämnd kund 3</t>
        </is>
      </c>
      <c r="B86" s="204" t="n">
        <v>46204</v>
      </c>
      <c r="C86" s="205">
        <f>'Budget maj-dec 2026'!D16</f>
        <v/>
      </c>
      <c r="D86" s="205">
        <f>IF('Kassaflöde inmatning'!$E$29="Ja",C86*'Kassaflöde inmatning'!$B$6,0)</f>
        <v/>
      </c>
      <c r="E86" s="203">
        <f>'Kassaflöde inmatning'!$C$29</f>
        <v/>
      </c>
      <c r="F86" s="203">
        <f>'Kassaflöde inmatning'!$D$29</f>
        <v/>
      </c>
      <c r="G86" s="204">
        <f>IF(F86="Månadsslut",EOMONTH(B86,0)+E86,B86+E86)</f>
        <v/>
      </c>
      <c r="H86" s="204">
        <f>DATE(YEAR(G86),MONTH(G86),1)</f>
        <v/>
      </c>
      <c r="I86" s="199" t="n"/>
    </row>
    <row r="87">
      <c r="A87" s="203" t="inlineStr">
        <is>
          <t>Obenämnd kund 3</t>
        </is>
      </c>
      <c r="B87" s="204" t="n">
        <v>46235</v>
      </c>
      <c r="C87" s="205">
        <f>'Budget maj-dec 2026'!E16</f>
        <v/>
      </c>
      <c r="D87" s="205">
        <f>IF('Kassaflöde inmatning'!$E$29="Ja",C87*'Kassaflöde inmatning'!$B$6,0)</f>
        <v/>
      </c>
      <c r="E87" s="203">
        <f>'Kassaflöde inmatning'!$C$29</f>
        <v/>
      </c>
      <c r="F87" s="203">
        <f>'Kassaflöde inmatning'!$D$29</f>
        <v/>
      </c>
      <c r="G87" s="204">
        <f>IF(F87="Månadsslut",EOMONTH(B87,0)+E87,B87+E87)</f>
        <v/>
      </c>
      <c r="H87" s="204">
        <f>DATE(YEAR(G87),MONTH(G87),1)</f>
        <v/>
      </c>
      <c r="I87" s="199" t="n"/>
    </row>
    <row r="88">
      <c r="A88" s="203" t="inlineStr">
        <is>
          <t>Obenämnd kund 3</t>
        </is>
      </c>
      <c r="B88" s="204" t="n">
        <v>46266</v>
      </c>
      <c r="C88" s="205">
        <f>'Budget maj-dec 2026'!F16</f>
        <v/>
      </c>
      <c r="D88" s="205">
        <f>IF('Kassaflöde inmatning'!$E$29="Ja",C88*'Kassaflöde inmatning'!$B$6,0)</f>
        <v/>
      </c>
      <c r="E88" s="203">
        <f>'Kassaflöde inmatning'!$C$29</f>
        <v/>
      </c>
      <c r="F88" s="203">
        <f>'Kassaflöde inmatning'!$D$29</f>
        <v/>
      </c>
      <c r="G88" s="204">
        <f>IF(F88="Månadsslut",EOMONTH(B88,0)+E88,B88+E88)</f>
        <v/>
      </c>
      <c r="H88" s="204">
        <f>DATE(YEAR(G88),MONTH(G88),1)</f>
        <v/>
      </c>
      <c r="I88" s="199" t="n"/>
    </row>
    <row r="89">
      <c r="A89" s="203" t="inlineStr">
        <is>
          <t>Obenämnd kund 3</t>
        </is>
      </c>
      <c r="B89" s="204" t="n">
        <v>46296</v>
      </c>
      <c r="C89" s="205">
        <f>'Budget maj-dec 2026'!G16</f>
        <v/>
      </c>
      <c r="D89" s="205">
        <f>IF('Kassaflöde inmatning'!$E$29="Ja",C89*'Kassaflöde inmatning'!$B$6,0)</f>
        <v/>
      </c>
      <c r="E89" s="203">
        <f>'Kassaflöde inmatning'!$C$29</f>
        <v/>
      </c>
      <c r="F89" s="203">
        <f>'Kassaflöde inmatning'!$D$29</f>
        <v/>
      </c>
      <c r="G89" s="204">
        <f>IF(F89="Månadsslut",EOMONTH(B89,0)+E89,B89+E89)</f>
        <v/>
      </c>
      <c r="H89" s="204">
        <f>DATE(YEAR(G89),MONTH(G89),1)</f>
        <v/>
      </c>
      <c r="I89" s="199" t="n"/>
    </row>
    <row r="90">
      <c r="A90" s="203" t="inlineStr">
        <is>
          <t>Obenämnd kund 3</t>
        </is>
      </c>
      <c r="B90" s="204" t="n">
        <v>46327</v>
      </c>
      <c r="C90" s="205">
        <f>'Budget maj-dec 2026'!H16</f>
        <v/>
      </c>
      <c r="D90" s="205">
        <f>IF('Kassaflöde inmatning'!$E$29="Ja",C90*'Kassaflöde inmatning'!$B$6,0)</f>
        <v/>
      </c>
      <c r="E90" s="203">
        <f>'Kassaflöde inmatning'!$C$29</f>
        <v/>
      </c>
      <c r="F90" s="203">
        <f>'Kassaflöde inmatning'!$D$29</f>
        <v/>
      </c>
      <c r="G90" s="204">
        <f>IF(F90="Månadsslut",EOMONTH(B90,0)+E90,B90+E90)</f>
        <v/>
      </c>
      <c r="H90" s="204">
        <f>DATE(YEAR(G90),MONTH(G90),1)</f>
        <v/>
      </c>
      <c r="I90" s="199" t="n"/>
    </row>
    <row r="91">
      <c r="A91" s="203" t="inlineStr">
        <is>
          <t>Obenämnd kund 3</t>
        </is>
      </c>
      <c r="B91" s="204" t="n">
        <v>46357</v>
      </c>
      <c r="C91" s="205">
        <f>'Budget maj-dec 2026'!I16</f>
        <v/>
      </c>
      <c r="D91" s="205">
        <f>IF('Kassaflöde inmatning'!$E$29="Ja",C91*'Kassaflöde inmatning'!$B$6,0)</f>
        <v/>
      </c>
      <c r="E91" s="203">
        <f>'Kassaflöde inmatning'!$C$29</f>
        <v/>
      </c>
      <c r="F91" s="203">
        <f>'Kassaflöde inmatning'!$D$29</f>
        <v/>
      </c>
      <c r="G91" s="204">
        <f>IF(F91="Månadsslut",EOMONTH(B91,0)+E91,B91+E91)</f>
        <v/>
      </c>
      <c r="H91" s="204">
        <f>DATE(YEAR(G91),MONTH(G91),1)</f>
        <v/>
      </c>
      <c r="I91" s="199" t="n"/>
    </row>
    <row r="92">
      <c r="B92" s="199" t="n"/>
      <c r="C92" s="200" t="n"/>
      <c r="D92" s="200" t="n"/>
      <c r="G92" s="199" t="n"/>
      <c r="H92" s="199" t="n"/>
      <c r="I92" s="199" t="n"/>
    </row>
    <row r="93">
      <c r="B93" s="199" t="n"/>
      <c r="C93" s="200" t="n"/>
      <c r="D93" s="200" t="n"/>
      <c r="G93" s="199" t="n"/>
      <c r="H93" s="199" t="n"/>
      <c r="I93" s="199" t="n"/>
    </row>
    <row r="94">
      <c r="A94" s="181" t="inlineStr">
        <is>
          <t>Kostnad</t>
        </is>
      </c>
      <c r="B94" s="201" t="inlineStr">
        <is>
          <t>Kostnadsmånad</t>
        </is>
      </c>
      <c r="C94" s="202" t="inlineStr">
        <is>
          <t>Budget ex moms</t>
        </is>
      </c>
      <c r="D94" s="202" t="inlineStr">
        <is>
          <t>Ingående moms</t>
        </is>
      </c>
      <c r="E94" s="181" t="inlineStr">
        <is>
          <t>Frekvens</t>
        </is>
      </c>
      <c r="F94" s="181" t="inlineStr">
        <is>
          <t>Förfallodag</t>
        </is>
      </c>
      <c r="G94" s="201" t="inlineStr">
        <is>
          <t>Förfallomånad</t>
        </is>
      </c>
      <c r="H94" s="201" t="inlineStr">
        <is>
          <t>Förfallodatum</t>
        </is>
      </c>
      <c r="I94" s="201" t="inlineStr">
        <is>
          <t>Betalningsmånad</t>
        </is>
      </c>
    </row>
    <row r="95">
      <c r="A95" s="203" t="inlineStr">
        <is>
          <t>Adobe Creative Suite</t>
        </is>
      </c>
      <c r="B95" s="204" t="n">
        <v>46143</v>
      </c>
      <c r="C95" s="205">
        <f>'Budget maj-dec 2026'!B69</f>
        <v/>
      </c>
      <c r="D95" s="205">
        <f>IF('Kassaflöde inmatning'!$F$35="Ja",C95*'Kassaflöde inmatning'!$B$6,0)</f>
        <v/>
      </c>
      <c r="E95" s="203">
        <f>'Kassaflöde inmatning'!$C$35</f>
        <v/>
      </c>
      <c r="F95" s="203">
        <f>'Kassaflöde inmatning'!$D$35</f>
        <v/>
      </c>
      <c r="G95" s="204">
        <f>'Kassaflöde inmatning'!$E$35</f>
        <v/>
      </c>
      <c r="H95" s="204">
        <f>SWITCH(E95,"Månadsvis",DATE(YEAR(B95),MONTH(B95),MIN(F95,DAY(EOMONTH(B95,0)))),"Kvartalsvis",DATE(YEAR(B95),CEILING(MONTH(B95),3),MIN(F95,DAY(EOMONTH(DATE(YEAR(B95),CEILING(MONTH(B95),3),1),0)))),"Halvårsvis",DATE(YEAR(B95),IF(MONTH(B95)&lt;=6,6,12),MIN(F95,DAY(EOMONTH(DATE(YEAR(B95),IF(MONTH(B95)&lt;=6,6,12),1),0)))),"Årsvis",DATE(YEAR(B95),G95,MIN(F95,DAY(EOMONTH(DATE(YEAR(B95),G95,1),0)))))</f>
        <v/>
      </c>
      <c r="I95" s="204">
        <f>DATE(YEAR(H95),MONTH(H95),1)</f>
        <v/>
      </c>
    </row>
    <row r="96">
      <c r="A96" s="203" t="inlineStr">
        <is>
          <t>Adobe Creative Suite</t>
        </is>
      </c>
      <c r="B96" s="204" t="n">
        <v>46174</v>
      </c>
      <c r="C96" s="205">
        <f>'Budget maj-dec 2026'!C69</f>
        <v/>
      </c>
      <c r="D96" s="205">
        <f>IF('Kassaflöde inmatning'!$F$35="Ja",C96*'Kassaflöde inmatning'!$B$6,0)</f>
        <v/>
      </c>
      <c r="E96" s="203">
        <f>'Kassaflöde inmatning'!$C$35</f>
        <v/>
      </c>
      <c r="F96" s="203">
        <f>'Kassaflöde inmatning'!$D$35</f>
        <v/>
      </c>
      <c r="G96" s="204">
        <f>'Kassaflöde inmatning'!$E$35</f>
        <v/>
      </c>
      <c r="H96" s="204">
        <f>SWITCH(E96,"Månadsvis",DATE(YEAR(B96),MONTH(B96),MIN(F96,DAY(EOMONTH(B96,0)))),"Kvartalsvis",DATE(YEAR(B96),CEILING(MONTH(B96),3),MIN(F96,DAY(EOMONTH(DATE(YEAR(B96),CEILING(MONTH(B96),3),1),0)))),"Halvårsvis",DATE(YEAR(B96),IF(MONTH(B96)&lt;=6,6,12),MIN(F96,DAY(EOMONTH(DATE(YEAR(B96),IF(MONTH(B96)&lt;=6,6,12),1),0)))),"Årsvis",DATE(YEAR(B96),G96,MIN(F96,DAY(EOMONTH(DATE(YEAR(B96),G96,1),0)))))</f>
        <v/>
      </c>
      <c r="I96" s="204">
        <f>DATE(YEAR(H96),MONTH(H96),1)</f>
        <v/>
      </c>
    </row>
    <row r="97">
      <c r="A97" s="203" t="inlineStr">
        <is>
          <t>Adobe Creative Suite</t>
        </is>
      </c>
      <c r="B97" s="204" t="n">
        <v>46204</v>
      </c>
      <c r="C97" s="205">
        <f>'Budget maj-dec 2026'!D69</f>
        <v/>
      </c>
      <c r="D97" s="205">
        <f>IF('Kassaflöde inmatning'!$F$35="Ja",C97*'Kassaflöde inmatning'!$B$6,0)</f>
        <v/>
      </c>
      <c r="E97" s="203">
        <f>'Kassaflöde inmatning'!$C$35</f>
        <v/>
      </c>
      <c r="F97" s="203">
        <f>'Kassaflöde inmatning'!$D$35</f>
        <v/>
      </c>
      <c r="G97" s="204">
        <f>'Kassaflöde inmatning'!$E$35</f>
        <v/>
      </c>
      <c r="H97" s="204">
        <f>SWITCH(E97,"Månadsvis",DATE(YEAR(B97),MONTH(B97),MIN(F97,DAY(EOMONTH(B97,0)))),"Kvartalsvis",DATE(YEAR(B97),CEILING(MONTH(B97),3),MIN(F97,DAY(EOMONTH(DATE(YEAR(B97),CEILING(MONTH(B97),3),1),0)))),"Halvårsvis",DATE(YEAR(B97),IF(MONTH(B97)&lt;=6,6,12),MIN(F97,DAY(EOMONTH(DATE(YEAR(B97),IF(MONTH(B97)&lt;=6,6,12),1),0)))),"Årsvis",DATE(YEAR(B97),G97,MIN(F97,DAY(EOMONTH(DATE(YEAR(B97),G97,1),0)))))</f>
        <v/>
      </c>
      <c r="I97" s="204">
        <f>DATE(YEAR(H97),MONTH(H97),1)</f>
        <v/>
      </c>
    </row>
    <row r="98">
      <c r="A98" s="203" t="inlineStr">
        <is>
          <t>Adobe Creative Suite</t>
        </is>
      </c>
      <c r="B98" s="204" t="n">
        <v>46235</v>
      </c>
      <c r="C98" s="205">
        <f>'Budget maj-dec 2026'!E69</f>
        <v/>
      </c>
      <c r="D98" s="205">
        <f>IF('Kassaflöde inmatning'!$F$35="Ja",C98*'Kassaflöde inmatning'!$B$6,0)</f>
        <v/>
      </c>
      <c r="E98" s="203">
        <f>'Kassaflöde inmatning'!$C$35</f>
        <v/>
      </c>
      <c r="F98" s="203">
        <f>'Kassaflöde inmatning'!$D$35</f>
        <v/>
      </c>
      <c r="G98" s="204">
        <f>'Kassaflöde inmatning'!$E$35</f>
        <v/>
      </c>
      <c r="H98" s="204">
        <f>SWITCH(E98,"Månadsvis",DATE(YEAR(B98),MONTH(B98),MIN(F98,DAY(EOMONTH(B98,0)))),"Kvartalsvis",DATE(YEAR(B98),CEILING(MONTH(B98),3),MIN(F98,DAY(EOMONTH(DATE(YEAR(B98),CEILING(MONTH(B98),3),1),0)))),"Halvårsvis",DATE(YEAR(B98),IF(MONTH(B98)&lt;=6,6,12),MIN(F98,DAY(EOMONTH(DATE(YEAR(B98),IF(MONTH(B98)&lt;=6,6,12),1),0)))),"Årsvis",DATE(YEAR(B98),G98,MIN(F98,DAY(EOMONTH(DATE(YEAR(B98),G98,1),0)))))</f>
        <v/>
      </c>
      <c r="I98" s="204">
        <f>DATE(YEAR(H98),MONTH(H98),1)</f>
        <v/>
      </c>
    </row>
    <row r="99">
      <c r="A99" s="203" t="inlineStr">
        <is>
          <t>Adobe Creative Suite</t>
        </is>
      </c>
      <c r="B99" s="204" t="n">
        <v>46266</v>
      </c>
      <c r="C99" s="205">
        <f>'Budget maj-dec 2026'!F69</f>
        <v/>
      </c>
      <c r="D99" s="205">
        <f>IF('Kassaflöde inmatning'!$F$35="Ja",C99*'Kassaflöde inmatning'!$B$6,0)</f>
        <v/>
      </c>
      <c r="E99" s="203">
        <f>'Kassaflöde inmatning'!$C$35</f>
        <v/>
      </c>
      <c r="F99" s="203">
        <f>'Kassaflöde inmatning'!$D$35</f>
        <v/>
      </c>
      <c r="G99" s="204">
        <f>'Kassaflöde inmatning'!$E$35</f>
        <v/>
      </c>
      <c r="H99" s="204">
        <f>SWITCH(E99,"Månadsvis",DATE(YEAR(B99),MONTH(B99),MIN(F99,DAY(EOMONTH(B99,0)))),"Kvartalsvis",DATE(YEAR(B99),CEILING(MONTH(B99),3),MIN(F99,DAY(EOMONTH(DATE(YEAR(B99),CEILING(MONTH(B99),3),1),0)))),"Halvårsvis",DATE(YEAR(B99),IF(MONTH(B99)&lt;=6,6,12),MIN(F99,DAY(EOMONTH(DATE(YEAR(B99),IF(MONTH(B99)&lt;=6,6,12),1),0)))),"Årsvis",DATE(YEAR(B99),G99,MIN(F99,DAY(EOMONTH(DATE(YEAR(B99),G99,1),0)))))</f>
        <v/>
      </c>
      <c r="I99" s="204">
        <f>DATE(YEAR(H99),MONTH(H99),1)</f>
        <v/>
      </c>
    </row>
    <row r="100">
      <c r="A100" s="203" t="inlineStr">
        <is>
          <t>Adobe Creative Suite</t>
        </is>
      </c>
      <c r="B100" s="204" t="n">
        <v>46296</v>
      </c>
      <c r="C100" s="205">
        <f>'Budget maj-dec 2026'!G69</f>
        <v/>
      </c>
      <c r="D100" s="205">
        <f>IF('Kassaflöde inmatning'!$F$35="Ja",C100*'Kassaflöde inmatning'!$B$6,0)</f>
        <v/>
      </c>
      <c r="E100" s="203">
        <f>'Kassaflöde inmatning'!$C$35</f>
        <v/>
      </c>
      <c r="F100" s="203">
        <f>'Kassaflöde inmatning'!$D$35</f>
        <v/>
      </c>
      <c r="G100" s="204">
        <f>'Kassaflöde inmatning'!$E$35</f>
        <v/>
      </c>
      <c r="H100" s="204">
        <f>SWITCH(E100,"Månadsvis",DATE(YEAR(B100),MONTH(B100),MIN(F100,DAY(EOMONTH(B100,0)))),"Kvartalsvis",DATE(YEAR(B100),CEILING(MONTH(B100),3),MIN(F100,DAY(EOMONTH(DATE(YEAR(B100),CEILING(MONTH(B100),3),1),0)))),"Halvårsvis",DATE(YEAR(B100),IF(MONTH(B100)&lt;=6,6,12),MIN(F100,DAY(EOMONTH(DATE(YEAR(B100),IF(MONTH(B100)&lt;=6,6,12),1),0)))),"Årsvis",DATE(YEAR(B100),G100,MIN(F100,DAY(EOMONTH(DATE(YEAR(B100),G100,1),0)))))</f>
        <v/>
      </c>
      <c r="I100" s="204">
        <f>DATE(YEAR(H100),MONTH(H100),1)</f>
        <v/>
      </c>
    </row>
    <row r="101">
      <c r="A101" s="203" t="inlineStr">
        <is>
          <t>Adobe Creative Suite</t>
        </is>
      </c>
      <c r="B101" s="204" t="n">
        <v>46327</v>
      </c>
      <c r="C101" s="205">
        <f>'Budget maj-dec 2026'!H69</f>
        <v/>
      </c>
      <c r="D101" s="205">
        <f>IF('Kassaflöde inmatning'!$F$35="Ja",C101*'Kassaflöde inmatning'!$B$6,0)</f>
        <v/>
      </c>
      <c r="E101" s="203">
        <f>'Kassaflöde inmatning'!$C$35</f>
        <v/>
      </c>
      <c r="F101" s="203">
        <f>'Kassaflöde inmatning'!$D$35</f>
        <v/>
      </c>
      <c r="G101" s="204">
        <f>'Kassaflöde inmatning'!$E$35</f>
        <v/>
      </c>
      <c r="H101" s="204">
        <f>SWITCH(E101,"Månadsvis",DATE(YEAR(B101),MONTH(B101),MIN(F101,DAY(EOMONTH(B101,0)))),"Kvartalsvis",DATE(YEAR(B101),CEILING(MONTH(B101),3),MIN(F101,DAY(EOMONTH(DATE(YEAR(B101),CEILING(MONTH(B101),3),1),0)))),"Halvårsvis",DATE(YEAR(B101),IF(MONTH(B101)&lt;=6,6,12),MIN(F101,DAY(EOMONTH(DATE(YEAR(B101),IF(MONTH(B101)&lt;=6,6,12),1),0)))),"Årsvis",DATE(YEAR(B101),G101,MIN(F101,DAY(EOMONTH(DATE(YEAR(B101),G101,1),0)))))</f>
        <v/>
      </c>
      <c r="I101" s="204">
        <f>DATE(YEAR(H101),MONTH(H101),1)</f>
        <v/>
      </c>
    </row>
    <row r="102">
      <c r="A102" s="203" t="inlineStr">
        <is>
          <t>Adobe Creative Suite</t>
        </is>
      </c>
      <c r="B102" s="204" t="n">
        <v>46357</v>
      </c>
      <c r="C102" s="205">
        <f>'Budget maj-dec 2026'!I69</f>
        <v/>
      </c>
      <c r="D102" s="205">
        <f>IF('Kassaflöde inmatning'!$F$35="Ja",C102*'Kassaflöde inmatning'!$B$6,0)</f>
        <v/>
      </c>
      <c r="E102" s="203">
        <f>'Kassaflöde inmatning'!$C$35</f>
        <v/>
      </c>
      <c r="F102" s="203">
        <f>'Kassaflöde inmatning'!$D$35</f>
        <v/>
      </c>
      <c r="G102" s="204">
        <f>'Kassaflöde inmatning'!$E$35</f>
        <v/>
      </c>
      <c r="H102" s="204">
        <f>SWITCH(E102,"Månadsvis",DATE(YEAR(B102),MONTH(B102),MIN(F102,DAY(EOMONTH(B102,0)))),"Kvartalsvis",DATE(YEAR(B102),CEILING(MONTH(B102),3),MIN(F102,DAY(EOMONTH(DATE(YEAR(B102),CEILING(MONTH(B102),3),1),0)))),"Halvårsvis",DATE(YEAR(B102),IF(MONTH(B102)&lt;=6,6,12),MIN(F102,DAY(EOMONTH(DATE(YEAR(B102),IF(MONTH(B102)&lt;=6,6,12),1),0)))),"Årsvis",DATE(YEAR(B102),G102,MIN(F102,DAY(EOMONTH(DATE(YEAR(B102),G102,1),0)))))</f>
        <v/>
      </c>
      <c r="I102" s="204">
        <f>DATE(YEAR(H102),MONTH(H102),1)</f>
        <v/>
      </c>
    </row>
    <row r="103">
      <c r="A103" s="203" t="inlineStr">
        <is>
          <t>Google Workspace</t>
        </is>
      </c>
      <c r="B103" s="204" t="n">
        <v>46143</v>
      </c>
      <c r="C103" s="205">
        <f>'Budget maj-dec 2026'!B70</f>
        <v/>
      </c>
      <c r="D103" s="205">
        <f>IF('Kassaflöde inmatning'!$F$36="Ja",C103*'Kassaflöde inmatning'!$B$6,0)</f>
        <v/>
      </c>
      <c r="E103" s="203">
        <f>'Kassaflöde inmatning'!$C$36</f>
        <v/>
      </c>
      <c r="F103" s="203">
        <f>'Kassaflöde inmatning'!$D$36</f>
        <v/>
      </c>
      <c r="G103" s="204">
        <f>'Kassaflöde inmatning'!$E$36</f>
        <v/>
      </c>
      <c r="H103" s="204">
        <f>SWITCH(E103,"Månadsvis",DATE(YEAR(B103),MONTH(B103),MIN(F103,DAY(EOMONTH(B103,0)))),"Kvartalsvis",DATE(YEAR(B103),CEILING(MONTH(B103),3),MIN(F103,DAY(EOMONTH(DATE(YEAR(B103),CEILING(MONTH(B103),3),1),0)))),"Halvårsvis",DATE(YEAR(B103),IF(MONTH(B103)&lt;=6,6,12),MIN(F103,DAY(EOMONTH(DATE(YEAR(B103),IF(MONTH(B103)&lt;=6,6,12),1),0)))),"Årsvis",DATE(YEAR(B103),G103,MIN(F103,DAY(EOMONTH(DATE(YEAR(B103),G103,1),0)))))</f>
        <v/>
      </c>
      <c r="I103" s="204">
        <f>DATE(YEAR(H103),MONTH(H103),1)</f>
        <v/>
      </c>
    </row>
    <row r="104">
      <c r="A104" s="203" t="inlineStr">
        <is>
          <t>Google Workspace</t>
        </is>
      </c>
      <c r="B104" s="204" t="n">
        <v>46174</v>
      </c>
      <c r="C104" s="205">
        <f>'Budget maj-dec 2026'!C70</f>
        <v/>
      </c>
      <c r="D104" s="205">
        <f>IF('Kassaflöde inmatning'!$F$36="Ja",C104*'Kassaflöde inmatning'!$B$6,0)</f>
        <v/>
      </c>
      <c r="E104" s="203">
        <f>'Kassaflöde inmatning'!$C$36</f>
        <v/>
      </c>
      <c r="F104" s="203">
        <f>'Kassaflöde inmatning'!$D$36</f>
        <v/>
      </c>
      <c r="G104" s="204">
        <f>'Kassaflöde inmatning'!$E$36</f>
        <v/>
      </c>
      <c r="H104" s="204">
        <f>SWITCH(E104,"Månadsvis",DATE(YEAR(B104),MONTH(B104),MIN(F104,DAY(EOMONTH(B104,0)))),"Kvartalsvis",DATE(YEAR(B104),CEILING(MONTH(B104),3),MIN(F104,DAY(EOMONTH(DATE(YEAR(B104),CEILING(MONTH(B104),3),1),0)))),"Halvårsvis",DATE(YEAR(B104),IF(MONTH(B104)&lt;=6,6,12),MIN(F104,DAY(EOMONTH(DATE(YEAR(B104),IF(MONTH(B104)&lt;=6,6,12),1),0)))),"Årsvis",DATE(YEAR(B104),G104,MIN(F104,DAY(EOMONTH(DATE(YEAR(B104),G104,1),0)))))</f>
        <v/>
      </c>
      <c r="I104" s="204">
        <f>DATE(YEAR(H104),MONTH(H104),1)</f>
        <v/>
      </c>
    </row>
    <row r="105">
      <c r="A105" s="203" t="inlineStr">
        <is>
          <t>Google Workspace</t>
        </is>
      </c>
      <c r="B105" s="204" t="n">
        <v>46204</v>
      </c>
      <c r="C105" s="205">
        <f>'Budget maj-dec 2026'!D70</f>
        <v/>
      </c>
      <c r="D105" s="205">
        <f>IF('Kassaflöde inmatning'!$F$36="Ja",C105*'Kassaflöde inmatning'!$B$6,0)</f>
        <v/>
      </c>
      <c r="E105" s="203">
        <f>'Kassaflöde inmatning'!$C$36</f>
        <v/>
      </c>
      <c r="F105" s="203">
        <f>'Kassaflöde inmatning'!$D$36</f>
        <v/>
      </c>
      <c r="G105" s="204">
        <f>'Kassaflöde inmatning'!$E$36</f>
        <v/>
      </c>
      <c r="H105" s="204">
        <f>SWITCH(E105,"Månadsvis",DATE(YEAR(B105),MONTH(B105),MIN(F105,DAY(EOMONTH(B105,0)))),"Kvartalsvis",DATE(YEAR(B105),CEILING(MONTH(B105),3),MIN(F105,DAY(EOMONTH(DATE(YEAR(B105),CEILING(MONTH(B105),3),1),0)))),"Halvårsvis",DATE(YEAR(B105),IF(MONTH(B105)&lt;=6,6,12),MIN(F105,DAY(EOMONTH(DATE(YEAR(B105),IF(MONTH(B105)&lt;=6,6,12),1),0)))),"Årsvis",DATE(YEAR(B105),G105,MIN(F105,DAY(EOMONTH(DATE(YEAR(B105),G105,1),0)))))</f>
        <v/>
      </c>
      <c r="I105" s="204">
        <f>DATE(YEAR(H105),MONTH(H105),1)</f>
        <v/>
      </c>
    </row>
    <row r="106">
      <c r="A106" s="203" t="inlineStr">
        <is>
          <t>Google Workspace</t>
        </is>
      </c>
      <c r="B106" s="204" t="n">
        <v>46235</v>
      </c>
      <c r="C106" s="205">
        <f>'Budget maj-dec 2026'!E70</f>
        <v/>
      </c>
      <c r="D106" s="205">
        <f>IF('Kassaflöde inmatning'!$F$36="Ja",C106*'Kassaflöde inmatning'!$B$6,0)</f>
        <v/>
      </c>
      <c r="E106" s="203">
        <f>'Kassaflöde inmatning'!$C$36</f>
        <v/>
      </c>
      <c r="F106" s="203">
        <f>'Kassaflöde inmatning'!$D$36</f>
        <v/>
      </c>
      <c r="G106" s="204">
        <f>'Kassaflöde inmatning'!$E$36</f>
        <v/>
      </c>
      <c r="H106" s="204">
        <f>SWITCH(E106,"Månadsvis",DATE(YEAR(B106),MONTH(B106),MIN(F106,DAY(EOMONTH(B106,0)))),"Kvartalsvis",DATE(YEAR(B106),CEILING(MONTH(B106),3),MIN(F106,DAY(EOMONTH(DATE(YEAR(B106),CEILING(MONTH(B106),3),1),0)))),"Halvårsvis",DATE(YEAR(B106),IF(MONTH(B106)&lt;=6,6,12),MIN(F106,DAY(EOMONTH(DATE(YEAR(B106),IF(MONTH(B106)&lt;=6,6,12),1),0)))),"Årsvis",DATE(YEAR(B106),G106,MIN(F106,DAY(EOMONTH(DATE(YEAR(B106),G106,1),0)))))</f>
        <v/>
      </c>
      <c r="I106" s="204">
        <f>DATE(YEAR(H106),MONTH(H106),1)</f>
        <v/>
      </c>
    </row>
    <row r="107">
      <c r="A107" s="203" t="inlineStr">
        <is>
          <t>Google Workspace</t>
        </is>
      </c>
      <c r="B107" s="204" t="n">
        <v>46266</v>
      </c>
      <c r="C107" s="205">
        <f>'Budget maj-dec 2026'!F70</f>
        <v/>
      </c>
      <c r="D107" s="205">
        <f>IF('Kassaflöde inmatning'!$F$36="Ja",C107*'Kassaflöde inmatning'!$B$6,0)</f>
        <v/>
      </c>
      <c r="E107" s="203">
        <f>'Kassaflöde inmatning'!$C$36</f>
        <v/>
      </c>
      <c r="F107" s="203">
        <f>'Kassaflöde inmatning'!$D$36</f>
        <v/>
      </c>
      <c r="G107" s="204">
        <f>'Kassaflöde inmatning'!$E$36</f>
        <v/>
      </c>
      <c r="H107" s="204">
        <f>SWITCH(E107,"Månadsvis",DATE(YEAR(B107),MONTH(B107),MIN(F107,DAY(EOMONTH(B107,0)))),"Kvartalsvis",DATE(YEAR(B107),CEILING(MONTH(B107),3),MIN(F107,DAY(EOMONTH(DATE(YEAR(B107),CEILING(MONTH(B107),3),1),0)))),"Halvårsvis",DATE(YEAR(B107),IF(MONTH(B107)&lt;=6,6,12),MIN(F107,DAY(EOMONTH(DATE(YEAR(B107),IF(MONTH(B107)&lt;=6,6,12),1),0)))),"Årsvis",DATE(YEAR(B107),G107,MIN(F107,DAY(EOMONTH(DATE(YEAR(B107),G107,1),0)))))</f>
        <v/>
      </c>
      <c r="I107" s="204">
        <f>DATE(YEAR(H107),MONTH(H107),1)</f>
        <v/>
      </c>
    </row>
    <row r="108">
      <c r="A108" s="203" t="inlineStr">
        <is>
          <t>Google Workspace</t>
        </is>
      </c>
      <c r="B108" s="204" t="n">
        <v>46296</v>
      </c>
      <c r="C108" s="205">
        <f>'Budget maj-dec 2026'!G70</f>
        <v/>
      </c>
      <c r="D108" s="205">
        <f>IF('Kassaflöde inmatning'!$F$36="Ja",C108*'Kassaflöde inmatning'!$B$6,0)</f>
        <v/>
      </c>
      <c r="E108" s="203">
        <f>'Kassaflöde inmatning'!$C$36</f>
        <v/>
      </c>
      <c r="F108" s="203">
        <f>'Kassaflöde inmatning'!$D$36</f>
        <v/>
      </c>
      <c r="G108" s="204">
        <f>'Kassaflöde inmatning'!$E$36</f>
        <v/>
      </c>
      <c r="H108" s="204">
        <f>SWITCH(E108,"Månadsvis",DATE(YEAR(B108),MONTH(B108),MIN(F108,DAY(EOMONTH(B108,0)))),"Kvartalsvis",DATE(YEAR(B108),CEILING(MONTH(B108),3),MIN(F108,DAY(EOMONTH(DATE(YEAR(B108),CEILING(MONTH(B108),3),1),0)))),"Halvårsvis",DATE(YEAR(B108),IF(MONTH(B108)&lt;=6,6,12),MIN(F108,DAY(EOMONTH(DATE(YEAR(B108),IF(MONTH(B108)&lt;=6,6,12),1),0)))),"Årsvis",DATE(YEAR(B108),G108,MIN(F108,DAY(EOMONTH(DATE(YEAR(B108),G108,1),0)))))</f>
        <v/>
      </c>
      <c r="I108" s="204">
        <f>DATE(YEAR(H108),MONTH(H108),1)</f>
        <v/>
      </c>
    </row>
    <row r="109">
      <c r="A109" s="203" t="inlineStr">
        <is>
          <t>Google Workspace</t>
        </is>
      </c>
      <c r="B109" s="204" t="n">
        <v>46327</v>
      </c>
      <c r="C109" s="205">
        <f>'Budget maj-dec 2026'!H70</f>
        <v/>
      </c>
      <c r="D109" s="205">
        <f>IF('Kassaflöde inmatning'!$F$36="Ja",C109*'Kassaflöde inmatning'!$B$6,0)</f>
        <v/>
      </c>
      <c r="E109" s="203">
        <f>'Kassaflöde inmatning'!$C$36</f>
        <v/>
      </c>
      <c r="F109" s="203">
        <f>'Kassaflöde inmatning'!$D$36</f>
        <v/>
      </c>
      <c r="G109" s="204">
        <f>'Kassaflöde inmatning'!$E$36</f>
        <v/>
      </c>
      <c r="H109" s="204">
        <f>SWITCH(E109,"Månadsvis",DATE(YEAR(B109),MONTH(B109),MIN(F109,DAY(EOMONTH(B109,0)))),"Kvartalsvis",DATE(YEAR(B109),CEILING(MONTH(B109),3),MIN(F109,DAY(EOMONTH(DATE(YEAR(B109),CEILING(MONTH(B109),3),1),0)))),"Halvårsvis",DATE(YEAR(B109),IF(MONTH(B109)&lt;=6,6,12),MIN(F109,DAY(EOMONTH(DATE(YEAR(B109),IF(MONTH(B109)&lt;=6,6,12),1),0)))),"Årsvis",DATE(YEAR(B109),G109,MIN(F109,DAY(EOMONTH(DATE(YEAR(B109),G109,1),0)))))</f>
        <v/>
      </c>
      <c r="I109" s="204">
        <f>DATE(YEAR(H109),MONTH(H109),1)</f>
        <v/>
      </c>
    </row>
    <row r="110">
      <c r="A110" s="203" t="inlineStr">
        <is>
          <t>Google Workspace</t>
        </is>
      </c>
      <c r="B110" s="204" t="n">
        <v>46357</v>
      </c>
      <c r="C110" s="205">
        <f>'Budget maj-dec 2026'!I70</f>
        <v/>
      </c>
      <c r="D110" s="205">
        <f>IF('Kassaflöde inmatning'!$F$36="Ja",C110*'Kassaflöde inmatning'!$B$6,0)</f>
        <v/>
      </c>
      <c r="E110" s="203">
        <f>'Kassaflöde inmatning'!$C$36</f>
        <v/>
      </c>
      <c r="F110" s="203">
        <f>'Kassaflöde inmatning'!$D$36</f>
        <v/>
      </c>
      <c r="G110" s="204">
        <f>'Kassaflöde inmatning'!$E$36</f>
        <v/>
      </c>
      <c r="H110" s="204">
        <f>SWITCH(E110,"Månadsvis",DATE(YEAR(B110),MONTH(B110),MIN(F110,DAY(EOMONTH(B110,0)))),"Kvartalsvis",DATE(YEAR(B110),CEILING(MONTH(B110),3),MIN(F110,DAY(EOMONTH(DATE(YEAR(B110),CEILING(MONTH(B110),3),1),0)))),"Halvårsvis",DATE(YEAR(B110),IF(MONTH(B110)&lt;=6,6,12),MIN(F110,DAY(EOMONTH(DATE(YEAR(B110),IF(MONTH(B110)&lt;=6,6,12),1),0)))),"Årsvis",DATE(YEAR(B110),G110,MIN(F110,DAY(EOMONTH(DATE(YEAR(B110),G110,1),0)))))</f>
        <v/>
      </c>
      <c r="I110" s="204">
        <f>DATE(YEAR(H110),MONTH(H110),1)</f>
        <v/>
      </c>
    </row>
    <row r="111">
      <c r="A111" s="203" t="inlineStr">
        <is>
          <t>AI bildredigeringsprogram</t>
        </is>
      </c>
      <c r="B111" s="204" t="n">
        <v>46143</v>
      </c>
      <c r="C111" s="205">
        <f>'Budget maj-dec 2026'!B71</f>
        <v/>
      </c>
      <c r="D111" s="205">
        <f>IF('Kassaflöde inmatning'!$F$37="Ja",C111*'Kassaflöde inmatning'!$B$6,0)</f>
        <v/>
      </c>
      <c r="E111" s="203">
        <f>'Kassaflöde inmatning'!$C$37</f>
        <v/>
      </c>
      <c r="F111" s="203">
        <f>'Kassaflöde inmatning'!$D$37</f>
        <v/>
      </c>
      <c r="G111" s="204">
        <f>'Kassaflöde inmatning'!$E$37</f>
        <v/>
      </c>
      <c r="H111" s="204">
        <f>SWITCH(E111,"Månadsvis",DATE(YEAR(B111),MONTH(B111),MIN(F111,DAY(EOMONTH(B111,0)))),"Kvartalsvis",DATE(YEAR(B111),CEILING(MONTH(B111),3),MIN(F111,DAY(EOMONTH(DATE(YEAR(B111),CEILING(MONTH(B111),3),1),0)))),"Halvårsvis",DATE(YEAR(B111),IF(MONTH(B111)&lt;=6,6,12),MIN(F111,DAY(EOMONTH(DATE(YEAR(B111),IF(MONTH(B111)&lt;=6,6,12),1),0)))),"Årsvis",DATE(YEAR(B111),G111,MIN(F111,DAY(EOMONTH(DATE(YEAR(B111),G111,1),0)))))</f>
        <v/>
      </c>
      <c r="I111" s="204">
        <f>DATE(YEAR(H111),MONTH(H111),1)</f>
        <v/>
      </c>
    </row>
    <row r="112">
      <c r="A112" s="203" t="inlineStr">
        <is>
          <t>AI bildredigeringsprogram</t>
        </is>
      </c>
      <c r="B112" s="204" t="n">
        <v>46174</v>
      </c>
      <c r="C112" s="205">
        <f>'Budget maj-dec 2026'!C71</f>
        <v/>
      </c>
      <c r="D112" s="205">
        <f>IF('Kassaflöde inmatning'!$F$37="Ja",C112*'Kassaflöde inmatning'!$B$6,0)</f>
        <v/>
      </c>
      <c r="E112" s="203">
        <f>'Kassaflöde inmatning'!$C$37</f>
        <v/>
      </c>
      <c r="F112" s="203">
        <f>'Kassaflöde inmatning'!$D$37</f>
        <v/>
      </c>
      <c r="G112" s="204">
        <f>'Kassaflöde inmatning'!$E$37</f>
        <v/>
      </c>
      <c r="H112" s="204">
        <f>SWITCH(E112,"Månadsvis",DATE(YEAR(B112),MONTH(B112),MIN(F112,DAY(EOMONTH(B112,0)))),"Kvartalsvis",DATE(YEAR(B112),CEILING(MONTH(B112),3),MIN(F112,DAY(EOMONTH(DATE(YEAR(B112),CEILING(MONTH(B112),3),1),0)))),"Halvårsvis",DATE(YEAR(B112),IF(MONTH(B112)&lt;=6,6,12),MIN(F112,DAY(EOMONTH(DATE(YEAR(B112),IF(MONTH(B112)&lt;=6,6,12),1),0)))),"Årsvis",DATE(YEAR(B112),G112,MIN(F112,DAY(EOMONTH(DATE(YEAR(B112),G112,1),0)))))</f>
        <v/>
      </c>
      <c r="I112" s="204">
        <f>DATE(YEAR(H112),MONTH(H112),1)</f>
        <v/>
      </c>
    </row>
    <row r="113">
      <c r="A113" s="203" t="inlineStr">
        <is>
          <t>AI bildredigeringsprogram</t>
        </is>
      </c>
      <c r="B113" s="204" t="n">
        <v>46204</v>
      </c>
      <c r="C113" s="205">
        <f>'Budget maj-dec 2026'!D71</f>
        <v/>
      </c>
      <c r="D113" s="205">
        <f>IF('Kassaflöde inmatning'!$F$37="Ja",C113*'Kassaflöde inmatning'!$B$6,0)</f>
        <v/>
      </c>
      <c r="E113" s="203">
        <f>'Kassaflöde inmatning'!$C$37</f>
        <v/>
      </c>
      <c r="F113" s="203">
        <f>'Kassaflöde inmatning'!$D$37</f>
        <v/>
      </c>
      <c r="G113" s="204">
        <f>'Kassaflöde inmatning'!$E$37</f>
        <v/>
      </c>
      <c r="H113" s="204">
        <f>SWITCH(E113,"Månadsvis",DATE(YEAR(B113),MONTH(B113),MIN(F113,DAY(EOMONTH(B113,0)))),"Kvartalsvis",DATE(YEAR(B113),CEILING(MONTH(B113),3),MIN(F113,DAY(EOMONTH(DATE(YEAR(B113),CEILING(MONTH(B113),3),1),0)))),"Halvårsvis",DATE(YEAR(B113),IF(MONTH(B113)&lt;=6,6,12),MIN(F113,DAY(EOMONTH(DATE(YEAR(B113),IF(MONTH(B113)&lt;=6,6,12),1),0)))),"Årsvis",DATE(YEAR(B113),G113,MIN(F113,DAY(EOMONTH(DATE(YEAR(B113),G113,1),0)))))</f>
        <v/>
      </c>
      <c r="I113" s="204">
        <f>DATE(YEAR(H113),MONTH(H113),1)</f>
        <v/>
      </c>
    </row>
    <row r="114">
      <c r="A114" s="203" t="inlineStr">
        <is>
          <t>AI bildredigeringsprogram</t>
        </is>
      </c>
      <c r="B114" s="204" t="n">
        <v>46235</v>
      </c>
      <c r="C114" s="205">
        <f>'Budget maj-dec 2026'!E71</f>
        <v/>
      </c>
      <c r="D114" s="205">
        <f>IF('Kassaflöde inmatning'!$F$37="Ja",C114*'Kassaflöde inmatning'!$B$6,0)</f>
        <v/>
      </c>
      <c r="E114" s="203">
        <f>'Kassaflöde inmatning'!$C$37</f>
        <v/>
      </c>
      <c r="F114" s="203">
        <f>'Kassaflöde inmatning'!$D$37</f>
        <v/>
      </c>
      <c r="G114" s="204">
        <f>'Kassaflöde inmatning'!$E$37</f>
        <v/>
      </c>
      <c r="H114" s="204">
        <f>SWITCH(E114,"Månadsvis",DATE(YEAR(B114),MONTH(B114),MIN(F114,DAY(EOMONTH(B114,0)))),"Kvartalsvis",DATE(YEAR(B114),CEILING(MONTH(B114),3),MIN(F114,DAY(EOMONTH(DATE(YEAR(B114),CEILING(MONTH(B114),3),1),0)))),"Halvårsvis",DATE(YEAR(B114),IF(MONTH(B114)&lt;=6,6,12),MIN(F114,DAY(EOMONTH(DATE(YEAR(B114),IF(MONTH(B114)&lt;=6,6,12),1),0)))),"Årsvis",DATE(YEAR(B114),G114,MIN(F114,DAY(EOMONTH(DATE(YEAR(B114),G114,1),0)))))</f>
        <v/>
      </c>
      <c r="I114" s="204">
        <f>DATE(YEAR(H114),MONTH(H114),1)</f>
        <v/>
      </c>
    </row>
    <row r="115">
      <c r="A115" s="203" t="inlineStr">
        <is>
          <t>AI bildredigeringsprogram</t>
        </is>
      </c>
      <c r="B115" s="204" t="n">
        <v>46266</v>
      </c>
      <c r="C115" s="205">
        <f>'Budget maj-dec 2026'!F71</f>
        <v/>
      </c>
      <c r="D115" s="205">
        <f>IF('Kassaflöde inmatning'!$F$37="Ja",C115*'Kassaflöde inmatning'!$B$6,0)</f>
        <v/>
      </c>
      <c r="E115" s="203">
        <f>'Kassaflöde inmatning'!$C$37</f>
        <v/>
      </c>
      <c r="F115" s="203">
        <f>'Kassaflöde inmatning'!$D$37</f>
        <v/>
      </c>
      <c r="G115" s="204">
        <f>'Kassaflöde inmatning'!$E$37</f>
        <v/>
      </c>
      <c r="H115" s="204">
        <f>SWITCH(E115,"Månadsvis",DATE(YEAR(B115),MONTH(B115),MIN(F115,DAY(EOMONTH(B115,0)))),"Kvartalsvis",DATE(YEAR(B115),CEILING(MONTH(B115),3),MIN(F115,DAY(EOMONTH(DATE(YEAR(B115),CEILING(MONTH(B115),3),1),0)))),"Halvårsvis",DATE(YEAR(B115),IF(MONTH(B115)&lt;=6,6,12),MIN(F115,DAY(EOMONTH(DATE(YEAR(B115),IF(MONTH(B115)&lt;=6,6,12),1),0)))),"Årsvis",DATE(YEAR(B115),G115,MIN(F115,DAY(EOMONTH(DATE(YEAR(B115),G115,1),0)))))</f>
        <v/>
      </c>
      <c r="I115" s="204">
        <f>DATE(YEAR(H115),MONTH(H115),1)</f>
        <v/>
      </c>
    </row>
    <row r="116">
      <c r="A116" s="203" t="inlineStr">
        <is>
          <t>AI bildredigeringsprogram</t>
        </is>
      </c>
      <c r="B116" s="204" t="n">
        <v>46296</v>
      </c>
      <c r="C116" s="205">
        <f>'Budget maj-dec 2026'!G71</f>
        <v/>
      </c>
      <c r="D116" s="205">
        <f>IF('Kassaflöde inmatning'!$F$37="Ja",C116*'Kassaflöde inmatning'!$B$6,0)</f>
        <v/>
      </c>
      <c r="E116" s="203">
        <f>'Kassaflöde inmatning'!$C$37</f>
        <v/>
      </c>
      <c r="F116" s="203">
        <f>'Kassaflöde inmatning'!$D$37</f>
        <v/>
      </c>
      <c r="G116" s="204">
        <f>'Kassaflöde inmatning'!$E$37</f>
        <v/>
      </c>
      <c r="H116" s="204">
        <f>SWITCH(E116,"Månadsvis",DATE(YEAR(B116),MONTH(B116),MIN(F116,DAY(EOMONTH(B116,0)))),"Kvartalsvis",DATE(YEAR(B116),CEILING(MONTH(B116),3),MIN(F116,DAY(EOMONTH(DATE(YEAR(B116),CEILING(MONTH(B116),3),1),0)))),"Halvårsvis",DATE(YEAR(B116),IF(MONTH(B116)&lt;=6,6,12),MIN(F116,DAY(EOMONTH(DATE(YEAR(B116),IF(MONTH(B116)&lt;=6,6,12),1),0)))),"Årsvis",DATE(YEAR(B116),G116,MIN(F116,DAY(EOMONTH(DATE(YEAR(B116),G116,1),0)))))</f>
        <v/>
      </c>
      <c r="I116" s="204">
        <f>DATE(YEAR(H116),MONTH(H116),1)</f>
        <v/>
      </c>
    </row>
    <row r="117">
      <c r="A117" s="203" t="inlineStr">
        <is>
          <t>AI bildredigeringsprogram</t>
        </is>
      </c>
      <c r="B117" s="204" t="n">
        <v>46327</v>
      </c>
      <c r="C117" s="205">
        <f>'Budget maj-dec 2026'!H71</f>
        <v/>
      </c>
      <c r="D117" s="205">
        <f>IF('Kassaflöde inmatning'!$F$37="Ja",C117*'Kassaflöde inmatning'!$B$6,0)</f>
        <v/>
      </c>
      <c r="E117" s="203">
        <f>'Kassaflöde inmatning'!$C$37</f>
        <v/>
      </c>
      <c r="F117" s="203">
        <f>'Kassaflöde inmatning'!$D$37</f>
        <v/>
      </c>
      <c r="G117" s="204">
        <f>'Kassaflöde inmatning'!$E$37</f>
        <v/>
      </c>
      <c r="H117" s="204">
        <f>SWITCH(E117,"Månadsvis",DATE(YEAR(B117),MONTH(B117),MIN(F117,DAY(EOMONTH(B117,0)))),"Kvartalsvis",DATE(YEAR(B117),CEILING(MONTH(B117),3),MIN(F117,DAY(EOMONTH(DATE(YEAR(B117),CEILING(MONTH(B117),3),1),0)))),"Halvårsvis",DATE(YEAR(B117),IF(MONTH(B117)&lt;=6,6,12),MIN(F117,DAY(EOMONTH(DATE(YEAR(B117),IF(MONTH(B117)&lt;=6,6,12),1),0)))),"Årsvis",DATE(YEAR(B117),G117,MIN(F117,DAY(EOMONTH(DATE(YEAR(B117),G117,1),0)))))</f>
        <v/>
      </c>
      <c r="I117" s="204">
        <f>DATE(YEAR(H117),MONTH(H117),1)</f>
        <v/>
      </c>
    </row>
    <row r="118">
      <c r="A118" s="203" t="inlineStr">
        <is>
          <t>AI bildredigeringsprogram</t>
        </is>
      </c>
      <c r="B118" s="204" t="n">
        <v>46357</v>
      </c>
      <c r="C118" s="205">
        <f>'Budget maj-dec 2026'!I71</f>
        <v/>
      </c>
      <c r="D118" s="205">
        <f>IF('Kassaflöde inmatning'!$F$37="Ja",C118*'Kassaflöde inmatning'!$B$6,0)</f>
        <v/>
      </c>
      <c r="E118" s="203">
        <f>'Kassaflöde inmatning'!$C$37</f>
        <v/>
      </c>
      <c r="F118" s="203">
        <f>'Kassaflöde inmatning'!$D$37</f>
        <v/>
      </c>
      <c r="G118" s="204">
        <f>'Kassaflöde inmatning'!$E$37</f>
        <v/>
      </c>
      <c r="H118" s="204">
        <f>SWITCH(E118,"Månadsvis",DATE(YEAR(B118),MONTH(B118),MIN(F118,DAY(EOMONTH(B118,0)))),"Kvartalsvis",DATE(YEAR(B118),CEILING(MONTH(B118),3),MIN(F118,DAY(EOMONTH(DATE(YEAR(B118),CEILING(MONTH(B118),3),1),0)))),"Halvårsvis",DATE(YEAR(B118),IF(MONTH(B118)&lt;=6,6,12),MIN(F118,DAY(EOMONTH(DATE(YEAR(B118),IF(MONTH(B118)&lt;=6,6,12),1),0)))),"Årsvis",DATE(YEAR(B118),G118,MIN(F118,DAY(EOMONTH(DATE(YEAR(B118),G118,1),0)))))</f>
        <v/>
      </c>
      <c r="I118" s="204">
        <f>DATE(YEAR(H118),MONTH(H118),1)</f>
        <v/>
      </c>
    </row>
    <row r="119">
      <c r="A119" s="203" t="inlineStr">
        <is>
          <t>AI videoredigeringsprogram</t>
        </is>
      </c>
      <c r="B119" s="204" t="n">
        <v>46143</v>
      </c>
      <c r="C119" s="205">
        <f>'Budget maj-dec 2026'!B72</f>
        <v/>
      </c>
      <c r="D119" s="205">
        <f>IF('Kassaflöde inmatning'!$F$38="Ja",C119*'Kassaflöde inmatning'!$B$6,0)</f>
        <v/>
      </c>
      <c r="E119" s="203">
        <f>'Kassaflöde inmatning'!$C$38</f>
        <v/>
      </c>
      <c r="F119" s="203">
        <f>'Kassaflöde inmatning'!$D$38</f>
        <v/>
      </c>
      <c r="G119" s="204">
        <f>'Kassaflöde inmatning'!$E$38</f>
        <v/>
      </c>
      <c r="H119" s="204">
        <f>SWITCH(E119,"Månadsvis",DATE(YEAR(B119),MONTH(B119),MIN(F119,DAY(EOMONTH(B119,0)))),"Kvartalsvis",DATE(YEAR(B119),CEILING(MONTH(B119),3),MIN(F119,DAY(EOMONTH(DATE(YEAR(B119),CEILING(MONTH(B119),3),1),0)))),"Halvårsvis",DATE(YEAR(B119),IF(MONTH(B119)&lt;=6,6,12),MIN(F119,DAY(EOMONTH(DATE(YEAR(B119),IF(MONTH(B119)&lt;=6,6,12),1),0)))),"Årsvis",DATE(YEAR(B119),G119,MIN(F119,DAY(EOMONTH(DATE(YEAR(B119),G119,1),0)))))</f>
        <v/>
      </c>
      <c r="I119" s="204">
        <f>DATE(YEAR(H119),MONTH(H119),1)</f>
        <v/>
      </c>
    </row>
    <row r="120">
      <c r="A120" s="203" t="inlineStr">
        <is>
          <t>AI videoredigeringsprogram</t>
        </is>
      </c>
      <c r="B120" s="204" t="n">
        <v>46174</v>
      </c>
      <c r="C120" s="205">
        <f>'Budget maj-dec 2026'!C72</f>
        <v/>
      </c>
      <c r="D120" s="205">
        <f>IF('Kassaflöde inmatning'!$F$38="Ja",C120*'Kassaflöde inmatning'!$B$6,0)</f>
        <v/>
      </c>
      <c r="E120" s="203">
        <f>'Kassaflöde inmatning'!$C$38</f>
        <v/>
      </c>
      <c r="F120" s="203">
        <f>'Kassaflöde inmatning'!$D$38</f>
        <v/>
      </c>
      <c r="G120" s="204">
        <f>'Kassaflöde inmatning'!$E$38</f>
        <v/>
      </c>
      <c r="H120" s="204">
        <f>SWITCH(E120,"Månadsvis",DATE(YEAR(B120),MONTH(B120),MIN(F120,DAY(EOMONTH(B120,0)))),"Kvartalsvis",DATE(YEAR(B120),CEILING(MONTH(B120),3),MIN(F120,DAY(EOMONTH(DATE(YEAR(B120),CEILING(MONTH(B120),3),1),0)))),"Halvårsvis",DATE(YEAR(B120),IF(MONTH(B120)&lt;=6,6,12),MIN(F120,DAY(EOMONTH(DATE(YEAR(B120),IF(MONTH(B120)&lt;=6,6,12),1),0)))),"Årsvis",DATE(YEAR(B120),G120,MIN(F120,DAY(EOMONTH(DATE(YEAR(B120),G120,1),0)))))</f>
        <v/>
      </c>
      <c r="I120" s="204">
        <f>DATE(YEAR(H120),MONTH(H120),1)</f>
        <v/>
      </c>
    </row>
    <row r="121">
      <c r="A121" s="203" t="inlineStr">
        <is>
          <t>AI videoredigeringsprogram</t>
        </is>
      </c>
      <c r="B121" s="204" t="n">
        <v>46204</v>
      </c>
      <c r="C121" s="205">
        <f>'Budget maj-dec 2026'!D72</f>
        <v/>
      </c>
      <c r="D121" s="205">
        <f>IF('Kassaflöde inmatning'!$F$38="Ja",C121*'Kassaflöde inmatning'!$B$6,0)</f>
        <v/>
      </c>
      <c r="E121" s="203">
        <f>'Kassaflöde inmatning'!$C$38</f>
        <v/>
      </c>
      <c r="F121" s="203">
        <f>'Kassaflöde inmatning'!$D$38</f>
        <v/>
      </c>
      <c r="G121" s="204">
        <f>'Kassaflöde inmatning'!$E$38</f>
        <v/>
      </c>
      <c r="H121" s="204">
        <f>SWITCH(E121,"Månadsvis",DATE(YEAR(B121),MONTH(B121),MIN(F121,DAY(EOMONTH(B121,0)))),"Kvartalsvis",DATE(YEAR(B121),CEILING(MONTH(B121),3),MIN(F121,DAY(EOMONTH(DATE(YEAR(B121),CEILING(MONTH(B121),3),1),0)))),"Halvårsvis",DATE(YEAR(B121),IF(MONTH(B121)&lt;=6,6,12),MIN(F121,DAY(EOMONTH(DATE(YEAR(B121),IF(MONTH(B121)&lt;=6,6,12),1),0)))),"Årsvis",DATE(YEAR(B121),G121,MIN(F121,DAY(EOMONTH(DATE(YEAR(B121),G121,1),0)))))</f>
        <v/>
      </c>
      <c r="I121" s="204">
        <f>DATE(YEAR(H121),MONTH(H121),1)</f>
        <v/>
      </c>
    </row>
    <row r="122">
      <c r="A122" s="203" t="inlineStr">
        <is>
          <t>AI videoredigeringsprogram</t>
        </is>
      </c>
      <c r="B122" s="204" t="n">
        <v>46235</v>
      </c>
      <c r="C122" s="205">
        <f>'Budget maj-dec 2026'!E72</f>
        <v/>
      </c>
      <c r="D122" s="205">
        <f>IF('Kassaflöde inmatning'!$F$38="Ja",C122*'Kassaflöde inmatning'!$B$6,0)</f>
        <v/>
      </c>
      <c r="E122" s="203">
        <f>'Kassaflöde inmatning'!$C$38</f>
        <v/>
      </c>
      <c r="F122" s="203">
        <f>'Kassaflöde inmatning'!$D$38</f>
        <v/>
      </c>
      <c r="G122" s="204">
        <f>'Kassaflöde inmatning'!$E$38</f>
        <v/>
      </c>
      <c r="H122" s="204">
        <f>SWITCH(E122,"Månadsvis",DATE(YEAR(B122),MONTH(B122),MIN(F122,DAY(EOMONTH(B122,0)))),"Kvartalsvis",DATE(YEAR(B122),CEILING(MONTH(B122),3),MIN(F122,DAY(EOMONTH(DATE(YEAR(B122),CEILING(MONTH(B122),3),1),0)))),"Halvårsvis",DATE(YEAR(B122),IF(MONTH(B122)&lt;=6,6,12),MIN(F122,DAY(EOMONTH(DATE(YEAR(B122),IF(MONTH(B122)&lt;=6,6,12),1),0)))),"Årsvis",DATE(YEAR(B122),G122,MIN(F122,DAY(EOMONTH(DATE(YEAR(B122),G122,1),0)))))</f>
        <v/>
      </c>
      <c r="I122" s="204">
        <f>DATE(YEAR(H122),MONTH(H122),1)</f>
        <v/>
      </c>
    </row>
    <row r="123">
      <c r="A123" s="203" t="inlineStr">
        <is>
          <t>AI videoredigeringsprogram</t>
        </is>
      </c>
      <c r="B123" s="204" t="n">
        <v>46266</v>
      </c>
      <c r="C123" s="205">
        <f>'Budget maj-dec 2026'!F72</f>
        <v/>
      </c>
      <c r="D123" s="205">
        <f>IF('Kassaflöde inmatning'!$F$38="Ja",C123*'Kassaflöde inmatning'!$B$6,0)</f>
        <v/>
      </c>
      <c r="E123" s="203">
        <f>'Kassaflöde inmatning'!$C$38</f>
        <v/>
      </c>
      <c r="F123" s="203">
        <f>'Kassaflöde inmatning'!$D$38</f>
        <v/>
      </c>
      <c r="G123" s="204">
        <f>'Kassaflöde inmatning'!$E$38</f>
        <v/>
      </c>
      <c r="H123" s="204">
        <f>SWITCH(E123,"Månadsvis",DATE(YEAR(B123),MONTH(B123),MIN(F123,DAY(EOMONTH(B123,0)))),"Kvartalsvis",DATE(YEAR(B123),CEILING(MONTH(B123),3),MIN(F123,DAY(EOMONTH(DATE(YEAR(B123),CEILING(MONTH(B123),3),1),0)))),"Halvårsvis",DATE(YEAR(B123),IF(MONTH(B123)&lt;=6,6,12),MIN(F123,DAY(EOMONTH(DATE(YEAR(B123),IF(MONTH(B123)&lt;=6,6,12),1),0)))),"Årsvis",DATE(YEAR(B123),G123,MIN(F123,DAY(EOMONTH(DATE(YEAR(B123),G123,1),0)))))</f>
        <v/>
      </c>
      <c r="I123" s="204">
        <f>DATE(YEAR(H123),MONTH(H123),1)</f>
        <v/>
      </c>
    </row>
    <row r="124">
      <c r="A124" s="203" t="inlineStr">
        <is>
          <t>AI videoredigeringsprogram</t>
        </is>
      </c>
      <c r="B124" s="204" t="n">
        <v>46296</v>
      </c>
      <c r="C124" s="205">
        <f>'Budget maj-dec 2026'!G72</f>
        <v/>
      </c>
      <c r="D124" s="205">
        <f>IF('Kassaflöde inmatning'!$F$38="Ja",C124*'Kassaflöde inmatning'!$B$6,0)</f>
        <v/>
      </c>
      <c r="E124" s="203">
        <f>'Kassaflöde inmatning'!$C$38</f>
        <v/>
      </c>
      <c r="F124" s="203">
        <f>'Kassaflöde inmatning'!$D$38</f>
        <v/>
      </c>
      <c r="G124" s="204">
        <f>'Kassaflöde inmatning'!$E$38</f>
        <v/>
      </c>
      <c r="H124" s="204">
        <f>SWITCH(E124,"Månadsvis",DATE(YEAR(B124),MONTH(B124),MIN(F124,DAY(EOMONTH(B124,0)))),"Kvartalsvis",DATE(YEAR(B124),CEILING(MONTH(B124),3),MIN(F124,DAY(EOMONTH(DATE(YEAR(B124),CEILING(MONTH(B124),3),1),0)))),"Halvårsvis",DATE(YEAR(B124),IF(MONTH(B124)&lt;=6,6,12),MIN(F124,DAY(EOMONTH(DATE(YEAR(B124),IF(MONTH(B124)&lt;=6,6,12),1),0)))),"Årsvis",DATE(YEAR(B124),G124,MIN(F124,DAY(EOMONTH(DATE(YEAR(B124),G124,1),0)))))</f>
        <v/>
      </c>
      <c r="I124" s="204">
        <f>DATE(YEAR(H124),MONTH(H124),1)</f>
        <v/>
      </c>
    </row>
    <row r="125">
      <c r="A125" s="203" t="inlineStr">
        <is>
          <t>AI videoredigeringsprogram</t>
        </is>
      </c>
      <c r="B125" s="204" t="n">
        <v>46327</v>
      </c>
      <c r="C125" s="205">
        <f>'Budget maj-dec 2026'!H72</f>
        <v/>
      </c>
      <c r="D125" s="205">
        <f>IF('Kassaflöde inmatning'!$F$38="Ja",C125*'Kassaflöde inmatning'!$B$6,0)</f>
        <v/>
      </c>
      <c r="E125" s="203">
        <f>'Kassaflöde inmatning'!$C$38</f>
        <v/>
      </c>
      <c r="F125" s="203">
        <f>'Kassaflöde inmatning'!$D$38</f>
        <v/>
      </c>
      <c r="G125" s="204">
        <f>'Kassaflöde inmatning'!$E$38</f>
        <v/>
      </c>
      <c r="H125" s="204">
        <f>SWITCH(E125,"Månadsvis",DATE(YEAR(B125),MONTH(B125),MIN(F125,DAY(EOMONTH(B125,0)))),"Kvartalsvis",DATE(YEAR(B125),CEILING(MONTH(B125),3),MIN(F125,DAY(EOMONTH(DATE(YEAR(B125),CEILING(MONTH(B125),3),1),0)))),"Halvårsvis",DATE(YEAR(B125),IF(MONTH(B125)&lt;=6,6,12),MIN(F125,DAY(EOMONTH(DATE(YEAR(B125),IF(MONTH(B125)&lt;=6,6,12),1),0)))),"Årsvis",DATE(YEAR(B125),G125,MIN(F125,DAY(EOMONTH(DATE(YEAR(B125),G125,1),0)))))</f>
        <v/>
      </c>
      <c r="I125" s="204">
        <f>DATE(YEAR(H125),MONTH(H125),1)</f>
        <v/>
      </c>
    </row>
    <row r="126">
      <c r="A126" s="203" t="inlineStr">
        <is>
          <t>AI videoredigeringsprogram</t>
        </is>
      </c>
      <c r="B126" s="204" t="n">
        <v>46357</v>
      </c>
      <c r="C126" s="205">
        <f>'Budget maj-dec 2026'!I72</f>
        <v/>
      </c>
      <c r="D126" s="205">
        <f>IF('Kassaflöde inmatning'!$F$38="Ja",C126*'Kassaflöde inmatning'!$B$6,0)</f>
        <v/>
      </c>
      <c r="E126" s="203">
        <f>'Kassaflöde inmatning'!$C$38</f>
        <v/>
      </c>
      <c r="F126" s="203">
        <f>'Kassaflöde inmatning'!$D$38</f>
        <v/>
      </c>
      <c r="G126" s="204">
        <f>'Kassaflöde inmatning'!$E$38</f>
        <v/>
      </c>
      <c r="H126" s="204">
        <f>SWITCH(E126,"Månadsvis",DATE(YEAR(B126),MONTH(B126),MIN(F126,DAY(EOMONTH(B126,0)))),"Kvartalsvis",DATE(YEAR(B126),CEILING(MONTH(B126),3),MIN(F126,DAY(EOMONTH(DATE(YEAR(B126),CEILING(MONTH(B126),3),1),0)))),"Halvårsvis",DATE(YEAR(B126),IF(MONTH(B126)&lt;=6,6,12),MIN(F126,DAY(EOMONTH(DATE(YEAR(B126),IF(MONTH(B126)&lt;=6,6,12),1),0)))),"Årsvis",DATE(YEAR(B126),G126,MIN(F126,DAY(EOMONTH(DATE(YEAR(B126),G126,1),0)))))</f>
        <v/>
      </c>
      <c r="I126" s="204">
        <f>DATE(YEAR(H126),MONTH(H126),1)</f>
        <v/>
      </c>
    </row>
    <row r="127">
      <c r="A127" s="203" t="inlineStr">
        <is>
          <t>Företagsförsäkring</t>
        </is>
      </c>
      <c r="B127" s="204" t="n">
        <v>46143</v>
      </c>
      <c r="C127" s="205">
        <f>'Budget maj-dec 2026'!B73</f>
        <v/>
      </c>
      <c r="D127" s="205">
        <f>IF('Kassaflöde inmatning'!$F$39="Ja",C127*'Kassaflöde inmatning'!$B$6,0)</f>
        <v/>
      </c>
      <c r="E127" s="203">
        <f>'Kassaflöde inmatning'!$C$39</f>
        <v/>
      </c>
      <c r="F127" s="203">
        <f>'Kassaflöde inmatning'!$D$39</f>
        <v/>
      </c>
      <c r="G127" s="204">
        <f>'Kassaflöde inmatning'!$E$39</f>
        <v/>
      </c>
      <c r="H127" s="204">
        <f>SWITCH(E127,"Månadsvis",DATE(YEAR(B127),MONTH(B127),MIN(F127,DAY(EOMONTH(B127,0)))),"Kvartalsvis",DATE(YEAR(B127),CEILING(MONTH(B127),3),MIN(F127,DAY(EOMONTH(DATE(YEAR(B127),CEILING(MONTH(B127),3),1),0)))),"Halvårsvis",DATE(YEAR(B127),IF(MONTH(B127)&lt;=6,6,12),MIN(F127,DAY(EOMONTH(DATE(YEAR(B127),IF(MONTH(B127)&lt;=6,6,12),1),0)))),"Årsvis",DATE(YEAR(B127),G127,MIN(F127,DAY(EOMONTH(DATE(YEAR(B127),G127,1),0)))))</f>
        <v/>
      </c>
      <c r="I127" s="204">
        <f>DATE(YEAR(H127),MONTH(H127),1)</f>
        <v/>
      </c>
    </row>
    <row r="128">
      <c r="A128" s="203" t="inlineStr">
        <is>
          <t>Företagsförsäkring</t>
        </is>
      </c>
      <c r="B128" s="204" t="n">
        <v>46174</v>
      </c>
      <c r="C128" s="205">
        <f>'Budget maj-dec 2026'!C73</f>
        <v/>
      </c>
      <c r="D128" s="205">
        <f>IF('Kassaflöde inmatning'!$F$39="Ja",C128*'Kassaflöde inmatning'!$B$6,0)</f>
        <v/>
      </c>
      <c r="E128" s="203">
        <f>'Kassaflöde inmatning'!$C$39</f>
        <v/>
      </c>
      <c r="F128" s="203">
        <f>'Kassaflöde inmatning'!$D$39</f>
        <v/>
      </c>
      <c r="G128" s="204">
        <f>'Kassaflöde inmatning'!$E$39</f>
        <v/>
      </c>
      <c r="H128" s="204">
        <f>SWITCH(E128,"Månadsvis",DATE(YEAR(B128),MONTH(B128),MIN(F128,DAY(EOMONTH(B128,0)))),"Kvartalsvis",DATE(YEAR(B128),CEILING(MONTH(B128),3),MIN(F128,DAY(EOMONTH(DATE(YEAR(B128),CEILING(MONTH(B128),3),1),0)))),"Halvårsvis",DATE(YEAR(B128),IF(MONTH(B128)&lt;=6,6,12),MIN(F128,DAY(EOMONTH(DATE(YEAR(B128),IF(MONTH(B128)&lt;=6,6,12),1),0)))),"Årsvis",DATE(YEAR(B128),G128,MIN(F128,DAY(EOMONTH(DATE(YEAR(B128),G128,1),0)))))</f>
        <v/>
      </c>
      <c r="I128" s="204">
        <f>DATE(YEAR(H128),MONTH(H128),1)</f>
        <v/>
      </c>
    </row>
    <row r="129">
      <c r="A129" s="203" t="inlineStr">
        <is>
          <t>Företagsförsäkring</t>
        </is>
      </c>
      <c r="B129" s="204" t="n">
        <v>46204</v>
      </c>
      <c r="C129" s="205">
        <f>'Budget maj-dec 2026'!D73</f>
        <v/>
      </c>
      <c r="D129" s="205">
        <f>IF('Kassaflöde inmatning'!$F$39="Ja",C129*'Kassaflöde inmatning'!$B$6,0)</f>
        <v/>
      </c>
      <c r="E129" s="203">
        <f>'Kassaflöde inmatning'!$C$39</f>
        <v/>
      </c>
      <c r="F129" s="203">
        <f>'Kassaflöde inmatning'!$D$39</f>
        <v/>
      </c>
      <c r="G129" s="204">
        <f>'Kassaflöde inmatning'!$E$39</f>
        <v/>
      </c>
      <c r="H129" s="204">
        <f>SWITCH(E129,"Månadsvis",DATE(YEAR(B129),MONTH(B129),MIN(F129,DAY(EOMONTH(B129,0)))),"Kvartalsvis",DATE(YEAR(B129),CEILING(MONTH(B129),3),MIN(F129,DAY(EOMONTH(DATE(YEAR(B129),CEILING(MONTH(B129),3),1),0)))),"Halvårsvis",DATE(YEAR(B129),IF(MONTH(B129)&lt;=6,6,12),MIN(F129,DAY(EOMONTH(DATE(YEAR(B129),IF(MONTH(B129)&lt;=6,6,12),1),0)))),"Årsvis",DATE(YEAR(B129),G129,MIN(F129,DAY(EOMONTH(DATE(YEAR(B129),G129,1),0)))))</f>
        <v/>
      </c>
      <c r="I129" s="204">
        <f>DATE(YEAR(H129),MONTH(H129),1)</f>
        <v/>
      </c>
    </row>
    <row r="130">
      <c r="A130" s="203" t="inlineStr">
        <is>
          <t>Företagsförsäkring</t>
        </is>
      </c>
      <c r="B130" s="204" t="n">
        <v>46235</v>
      </c>
      <c r="C130" s="205">
        <f>'Budget maj-dec 2026'!E73</f>
        <v/>
      </c>
      <c r="D130" s="205">
        <f>IF('Kassaflöde inmatning'!$F$39="Ja",C130*'Kassaflöde inmatning'!$B$6,0)</f>
        <v/>
      </c>
      <c r="E130" s="203">
        <f>'Kassaflöde inmatning'!$C$39</f>
        <v/>
      </c>
      <c r="F130" s="203">
        <f>'Kassaflöde inmatning'!$D$39</f>
        <v/>
      </c>
      <c r="G130" s="204">
        <f>'Kassaflöde inmatning'!$E$39</f>
        <v/>
      </c>
      <c r="H130" s="204">
        <f>SWITCH(E130,"Månadsvis",DATE(YEAR(B130),MONTH(B130),MIN(F130,DAY(EOMONTH(B130,0)))),"Kvartalsvis",DATE(YEAR(B130),CEILING(MONTH(B130),3),MIN(F130,DAY(EOMONTH(DATE(YEAR(B130),CEILING(MONTH(B130),3),1),0)))),"Halvårsvis",DATE(YEAR(B130),IF(MONTH(B130)&lt;=6,6,12),MIN(F130,DAY(EOMONTH(DATE(YEAR(B130),IF(MONTH(B130)&lt;=6,6,12),1),0)))),"Årsvis",DATE(YEAR(B130),G130,MIN(F130,DAY(EOMONTH(DATE(YEAR(B130),G130,1),0)))))</f>
        <v/>
      </c>
      <c r="I130" s="204">
        <f>DATE(YEAR(H130),MONTH(H130),1)</f>
        <v/>
      </c>
    </row>
    <row r="131">
      <c r="A131" s="203" t="inlineStr">
        <is>
          <t>Företagsförsäkring</t>
        </is>
      </c>
      <c r="B131" s="204" t="n">
        <v>46266</v>
      </c>
      <c r="C131" s="205">
        <f>'Budget maj-dec 2026'!F73</f>
        <v/>
      </c>
      <c r="D131" s="205">
        <f>IF('Kassaflöde inmatning'!$F$39="Ja",C131*'Kassaflöde inmatning'!$B$6,0)</f>
        <v/>
      </c>
      <c r="E131" s="203">
        <f>'Kassaflöde inmatning'!$C$39</f>
        <v/>
      </c>
      <c r="F131" s="203">
        <f>'Kassaflöde inmatning'!$D$39</f>
        <v/>
      </c>
      <c r="G131" s="204">
        <f>'Kassaflöde inmatning'!$E$39</f>
        <v/>
      </c>
      <c r="H131" s="204">
        <f>SWITCH(E131,"Månadsvis",DATE(YEAR(B131),MONTH(B131),MIN(F131,DAY(EOMONTH(B131,0)))),"Kvartalsvis",DATE(YEAR(B131),CEILING(MONTH(B131),3),MIN(F131,DAY(EOMONTH(DATE(YEAR(B131),CEILING(MONTH(B131),3),1),0)))),"Halvårsvis",DATE(YEAR(B131),IF(MONTH(B131)&lt;=6,6,12),MIN(F131,DAY(EOMONTH(DATE(YEAR(B131),IF(MONTH(B131)&lt;=6,6,12),1),0)))),"Årsvis",DATE(YEAR(B131),G131,MIN(F131,DAY(EOMONTH(DATE(YEAR(B131),G131,1),0)))))</f>
        <v/>
      </c>
      <c r="I131" s="204">
        <f>DATE(YEAR(H131),MONTH(H131),1)</f>
        <v/>
      </c>
    </row>
    <row r="132">
      <c r="A132" s="203" t="inlineStr">
        <is>
          <t>Företagsförsäkring</t>
        </is>
      </c>
      <c r="B132" s="204" t="n">
        <v>46296</v>
      </c>
      <c r="C132" s="205">
        <f>'Budget maj-dec 2026'!G73</f>
        <v/>
      </c>
      <c r="D132" s="205">
        <f>IF('Kassaflöde inmatning'!$F$39="Ja",C132*'Kassaflöde inmatning'!$B$6,0)</f>
        <v/>
      </c>
      <c r="E132" s="203">
        <f>'Kassaflöde inmatning'!$C$39</f>
        <v/>
      </c>
      <c r="F132" s="203">
        <f>'Kassaflöde inmatning'!$D$39</f>
        <v/>
      </c>
      <c r="G132" s="204">
        <f>'Kassaflöde inmatning'!$E$39</f>
        <v/>
      </c>
      <c r="H132" s="204">
        <f>SWITCH(E132,"Månadsvis",DATE(YEAR(B132),MONTH(B132),MIN(F132,DAY(EOMONTH(B132,0)))),"Kvartalsvis",DATE(YEAR(B132),CEILING(MONTH(B132),3),MIN(F132,DAY(EOMONTH(DATE(YEAR(B132),CEILING(MONTH(B132),3),1),0)))),"Halvårsvis",DATE(YEAR(B132),IF(MONTH(B132)&lt;=6,6,12),MIN(F132,DAY(EOMONTH(DATE(YEAR(B132),IF(MONTH(B132)&lt;=6,6,12),1),0)))),"Årsvis",DATE(YEAR(B132),G132,MIN(F132,DAY(EOMONTH(DATE(YEAR(B132),G132,1),0)))))</f>
        <v/>
      </c>
      <c r="I132" s="204">
        <f>DATE(YEAR(H132),MONTH(H132),1)</f>
        <v/>
      </c>
    </row>
    <row r="133">
      <c r="A133" s="203" t="inlineStr">
        <is>
          <t>Företagsförsäkring</t>
        </is>
      </c>
      <c r="B133" s="204" t="n">
        <v>46327</v>
      </c>
      <c r="C133" s="205">
        <f>'Budget maj-dec 2026'!H73</f>
        <v/>
      </c>
      <c r="D133" s="205">
        <f>IF('Kassaflöde inmatning'!$F$39="Ja",C133*'Kassaflöde inmatning'!$B$6,0)</f>
        <v/>
      </c>
      <c r="E133" s="203">
        <f>'Kassaflöde inmatning'!$C$39</f>
        <v/>
      </c>
      <c r="F133" s="203">
        <f>'Kassaflöde inmatning'!$D$39</f>
        <v/>
      </c>
      <c r="G133" s="204">
        <f>'Kassaflöde inmatning'!$E$39</f>
        <v/>
      </c>
      <c r="H133" s="204">
        <f>SWITCH(E133,"Månadsvis",DATE(YEAR(B133),MONTH(B133),MIN(F133,DAY(EOMONTH(B133,0)))),"Kvartalsvis",DATE(YEAR(B133),CEILING(MONTH(B133),3),MIN(F133,DAY(EOMONTH(DATE(YEAR(B133),CEILING(MONTH(B133),3),1),0)))),"Halvårsvis",DATE(YEAR(B133),IF(MONTH(B133)&lt;=6,6,12),MIN(F133,DAY(EOMONTH(DATE(YEAR(B133),IF(MONTH(B133)&lt;=6,6,12),1),0)))),"Årsvis",DATE(YEAR(B133),G133,MIN(F133,DAY(EOMONTH(DATE(YEAR(B133),G133,1),0)))))</f>
        <v/>
      </c>
      <c r="I133" s="204">
        <f>DATE(YEAR(H133),MONTH(H133),1)</f>
        <v/>
      </c>
    </row>
    <row r="134">
      <c r="A134" s="203" t="inlineStr">
        <is>
          <t>Företagsförsäkring</t>
        </is>
      </c>
      <c r="B134" s="204" t="n">
        <v>46357</v>
      </c>
      <c r="C134" s="205">
        <f>'Budget maj-dec 2026'!I73</f>
        <v/>
      </c>
      <c r="D134" s="205">
        <f>IF('Kassaflöde inmatning'!$F$39="Ja",C134*'Kassaflöde inmatning'!$B$6,0)</f>
        <v/>
      </c>
      <c r="E134" s="203">
        <f>'Kassaflöde inmatning'!$C$39</f>
        <v/>
      </c>
      <c r="F134" s="203">
        <f>'Kassaflöde inmatning'!$D$39</f>
        <v/>
      </c>
      <c r="G134" s="204">
        <f>'Kassaflöde inmatning'!$E$39</f>
        <v/>
      </c>
      <c r="H134" s="204">
        <f>SWITCH(E134,"Månadsvis",DATE(YEAR(B134),MONTH(B134),MIN(F134,DAY(EOMONTH(B134,0)))),"Kvartalsvis",DATE(YEAR(B134),CEILING(MONTH(B134),3),MIN(F134,DAY(EOMONTH(DATE(YEAR(B134),CEILING(MONTH(B134),3),1),0)))),"Halvårsvis",DATE(YEAR(B134),IF(MONTH(B134)&lt;=6,6,12),MIN(F134,DAY(EOMONTH(DATE(YEAR(B134),IF(MONTH(B134)&lt;=6,6,12),1),0)))),"Årsvis",DATE(YEAR(B134),G134,MIN(F134,DAY(EOMONTH(DATE(YEAR(B134),G134,1),0)))))</f>
        <v/>
      </c>
      <c r="I134" s="204">
        <f>DATE(YEAR(H134),MONTH(H134),1)</f>
        <v/>
      </c>
    </row>
    <row r="135">
      <c r="A135" s="203" t="inlineStr">
        <is>
          <t>Representation</t>
        </is>
      </c>
      <c r="B135" s="204" t="n">
        <v>46143</v>
      </c>
      <c r="C135" s="205">
        <f>'Budget maj-dec 2026'!B75</f>
        <v/>
      </c>
      <c r="D135" s="205">
        <f>IF('Kassaflöde inmatning'!$F$40="Ja",C135*'Kassaflöde inmatning'!$B$6,0)</f>
        <v/>
      </c>
      <c r="E135" s="203">
        <f>'Kassaflöde inmatning'!$C$40</f>
        <v/>
      </c>
      <c r="F135" s="203">
        <f>'Kassaflöde inmatning'!$D$40</f>
        <v/>
      </c>
      <c r="G135" s="204">
        <f>'Kassaflöde inmatning'!$E$40</f>
        <v/>
      </c>
      <c r="H135" s="204">
        <f>SWITCH(E135,"Månadsvis",DATE(YEAR(B135),MONTH(B135),MIN(F135,DAY(EOMONTH(B135,0)))),"Kvartalsvis",DATE(YEAR(B135),CEILING(MONTH(B135),3),MIN(F135,DAY(EOMONTH(DATE(YEAR(B135),CEILING(MONTH(B135),3),1),0)))),"Halvårsvis",DATE(YEAR(B135),IF(MONTH(B135)&lt;=6,6,12),MIN(F135,DAY(EOMONTH(DATE(YEAR(B135),IF(MONTH(B135)&lt;=6,6,12),1),0)))),"Årsvis",DATE(YEAR(B135),G135,MIN(F135,DAY(EOMONTH(DATE(YEAR(B135),G135,1),0)))))</f>
        <v/>
      </c>
      <c r="I135" s="204">
        <f>DATE(YEAR(H135),MONTH(H135),1)</f>
        <v/>
      </c>
    </row>
    <row r="136">
      <c r="A136" s="203" t="inlineStr">
        <is>
          <t>Representation</t>
        </is>
      </c>
      <c r="B136" s="204" t="n">
        <v>46174</v>
      </c>
      <c r="C136" s="205">
        <f>'Budget maj-dec 2026'!C75</f>
        <v/>
      </c>
      <c r="D136" s="205">
        <f>IF('Kassaflöde inmatning'!$F$40="Ja",C136*'Kassaflöde inmatning'!$B$6,0)</f>
        <v/>
      </c>
      <c r="E136" s="203">
        <f>'Kassaflöde inmatning'!$C$40</f>
        <v/>
      </c>
      <c r="F136" s="203">
        <f>'Kassaflöde inmatning'!$D$40</f>
        <v/>
      </c>
      <c r="G136" s="204">
        <f>'Kassaflöde inmatning'!$E$40</f>
        <v/>
      </c>
      <c r="H136" s="204">
        <f>SWITCH(E136,"Månadsvis",DATE(YEAR(B136),MONTH(B136),MIN(F136,DAY(EOMONTH(B136,0)))),"Kvartalsvis",DATE(YEAR(B136),CEILING(MONTH(B136),3),MIN(F136,DAY(EOMONTH(DATE(YEAR(B136),CEILING(MONTH(B136),3),1),0)))),"Halvårsvis",DATE(YEAR(B136),IF(MONTH(B136)&lt;=6,6,12),MIN(F136,DAY(EOMONTH(DATE(YEAR(B136),IF(MONTH(B136)&lt;=6,6,12),1),0)))),"Årsvis",DATE(YEAR(B136),G136,MIN(F136,DAY(EOMONTH(DATE(YEAR(B136),G136,1),0)))))</f>
        <v/>
      </c>
      <c r="I136" s="204">
        <f>DATE(YEAR(H136),MONTH(H136),1)</f>
        <v/>
      </c>
    </row>
    <row r="137">
      <c r="A137" s="203" t="inlineStr">
        <is>
          <t>Representation</t>
        </is>
      </c>
      <c r="B137" s="204" t="n">
        <v>46204</v>
      </c>
      <c r="C137" s="205">
        <f>'Budget maj-dec 2026'!D75</f>
        <v/>
      </c>
      <c r="D137" s="205">
        <f>IF('Kassaflöde inmatning'!$F$40="Ja",C137*'Kassaflöde inmatning'!$B$6,0)</f>
        <v/>
      </c>
      <c r="E137" s="203">
        <f>'Kassaflöde inmatning'!$C$40</f>
        <v/>
      </c>
      <c r="F137" s="203">
        <f>'Kassaflöde inmatning'!$D$40</f>
        <v/>
      </c>
      <c r="G137" s="204">
        <f>'Kassaflöde inmatning'!$E$40</f>
        <v/>
      </c>
      <c r="H137" s="204">
        <f>SWITCH(E137,"Månadsvis",DATE(YEAR(B137),MONTH(B137),MIN(F137,DAY(EOMONTH(B137,0)))),"Kvartalsvis",DATE(YEAR(B137),CEILING(MONTH(B137),3),MIN(F137,DAY(EOMONTH(DATE(YEAR(B137),CEILING(MONTH(B137),3),1),0)))),"Halvårsvis",DATE(YEAR(B137),IF(MONTH(B137)&lt;=6,6,12),MIN(F137,DAY(EOMONTH(DATE(YEAR(B137),IF(MONTH(B137)&lt;=6,6,12),1),0)))),"Årsvis",DATE(YEAR(B137),G137,MIN(F137,DAY(EOMONTH(DATE(YEAR(B137),G137,1),0)))))</f>
        <v/>
      </c>
      <c r="I137" s="204">
        <f>DATE(YEAR(H137),MONTH(H137),1)</f>
        <v/>
      </c>
    </row>
    <row r="138">
      <c r="A138" s="203" t="inlineStr">
        <is>
          <t>Representation</t>
        </is>
      </c>
      <c r="B138" s="204" t="n">
        <v>46235</v>
      </c>
      <c r="C138" s="205">
        <f>'Budget maj-dec 2026'!E75</f>
        <v/>
      </c>
      <c r="D138" s="205">
        <f>IF('Kassaflöde inmatning'!$F$40="Ja",C138*'Kassaflöde inmatning'!$B$6,0)</f>
        <v/>
      </c>
      <c r="E138" s="203">
        <f>'Kassaflöde inmatning'!$C$40</f>
        <v/>
      </c>
      <c r="F138" s="203">
        <f>'Kassaflöde inmatning'!$D$40</f>
        <v/>
      </c>
      <c r="G138" s="204">
        <f>'Kassaflöde inmatning'!$E$40</f>
        <v/>
      </c>
      <c r="H138" s="204">
        <f>SWITCH(E138,"Månadsvis",DATE(YEAR(B138),MONTH(B138),MIN(F138,DAY(EOMONTH(B138,0)))),"Kvartalsvis",DATE(YEAR(B138),CEILING(MONTH(B138),3),MIN(F138,DAY(EOMONTH(DATE(YEAR(B138),CEILING(MONTH(B138),3),1),0)))),"Halvårsvis",DATE(YEAR(B138),IF(MONTH(B138)&lt;=6,6,12),MIN(F138,DAY(EOMONTH(DATE(YEAR(B138),IF(MONTH(B138)&lt;=6,6,12),1),0)))),"Årsvis",DATE(YEAR(B138),G138,MIN(F138,DAY(EOMONTH(DATE(YEAR(B138),G138,1),0)))))</f>
        <v/>
      </c>
      <c r="I138" s="204">
        <f>DATE(YEAR(H138),MONTH(H138),1)</f>
        <v/>
      </c>
    </row>
    <row r="139">
      <c r="A139" s="203" t="inlineStr">
        <is>
          <t>Representation</t>
        </is>
      </c>
      <c r="B139" s="204" t="n">
        <v>46266</v>
      </c>
      <c r="C139" s="205">
        <f>'Budget maj-dec 2026'!F75</f>
        <v/>
      </c>
      <c r="D139" s="205">
        <f>IF('Kassaflöde inmatning'!$F$40="Ja",C139*'Kassaflöde inmatning'!$B$6,0)</f>
        <v/>
      </c>
      <c r="E139" s="203">
        <f>'Kassaflöde inmatning'!$C$40</f>
        <v/>
      </c>
      <c r="F139" s="203">
        <f>'Kassaflöde inmatning'!$D$40</f>
        <v/>
      </c>
      <c r="G139" s="204">
        <f>'Kassaflöde inmatning'!$E$40</f>
        <v/>
      </c>
      <c r="H139" s="204">
        <f>SWITCH(E139,"Månadsvis",DATE(YEAR(B139),MONTH(B139),MIN(F139,DAY(EOMONTH(B139,0)))),"Kvartalsvis",DATE(YEAR(B139),CEILING(MONTH(B139),3),MIN(F139,DAY(EOMONTH(DATE(YEAR(B139),CEILING(MONTH(B139),3),1),0)))),"Halvårsvis",DATE(YEAR(B139),IF(MONTH(B139)&lt;=6,6,12),MIN(F139,DAY(EOMONTH(DATE(YEAR(B139),IF(MONTH(B139)&lt;=6,6,12),1),0)))),"Årsvis",DATE(YEAR(B139),G139,MIN(F139,DAY(EOMONTH(DATE(YEAR(B139),G139,1),0)))))</f>
        <v/>
      </c>
      <c r="I139" s="204">
        <f>DATE(YEAR(H139),MONTH(H139),1)</f>
        <v/>
      </c>
    </row>
    <row r="140">
      <c r="A140" s="203" t="inlineStr">
        <is>
          <t>Representation</t>
        </is>
      </c>
      <c r="B140" s="204" t="n">
        <v>46296</v>
      </c>
      <c r="C140" s="205">
        <f>'Budget maj-dec 2026'!G75</f>
        <v/>
      </c>
      <c r="D140" s="205">
        <f>IF('Kassaflöde inmatning'!$F$40="Ja",C140*'Kassaflöde inmatning'!$B$6,0)</f>
        <v/>
      </c>
      <c r="E140" s="203">
        <f>'Kassaflöde inmatning'!$C$40</f>
        <v/>
      </c>
      <c r="F140" s="203">
        <f>'Kassaflöde inmatning'!$D$40</f>
        <v/>
      </c>
      <c r="G140" s="204">
        <f>'Kassaflöde inmatning'!$E$40</f>
        <v/>
      </c>
      <c r="H140" s="204">
        <f>SWITCH(E140,"Månadsvis",DATE(YEAR(B140),MONTH(B140),MIN(F140,DAY(EOMONTH(B140,0)))),"Kvartalsvis",DATE(YEAR(B140),CEILING(MONTH(B140),3),MIN(F140,DAY(EOMONTH(DATE(YEAR(B140),CEILING(MONTH(B140),3),1),0)))),"Halvårsvis",DATE(YEAR(B140),IF(MONTH(B140)&lt;=6,6,12),MIN(F140,DAY(EOMONTH(DATE(YEAR(B140),IF(MONTH(B140)&lt;=6,6,12),1),0)))),"Årsvis",DATE(YEAR(B140),G140,MIN(F140,DAY(EOMONTH(DATE(YEAR(B140),G140,1),0)))))</f>
        <v/>
      </c>
      <c r="I140" s="204">
        <f>DATE(YEAR(H140),MONTH(H140),1)</f>
        <v/>
      </c>
    </row>
    <row r="141">
      <c r="A141" s="203" t="inlineStr">
        <is>
          <t>Representation</t>
        </is>
      </c>
      <c r="B141" s="204" t="n">
        <v>46327</v>
      </c>
      <c r="C141" s="205">
        <f>'Budget maj-dec 2026'!H75</f>
        <v/>
      </c>
      <c r="D141" s="205">
        <f>IF('Kassaflöde inmatning'!$F$40="Ja",C141*'Kassaflöde inmatning'!$B$6,0)</f>
        <v/>
      </c>
      <c r="E141" s="203">
        <f>'Kassaflöde inmatning'!$C$40</f>
        <v/>
      </c>
      <c r="F141" s="203">
        <f>'Kassaflöde inmatning'!$D$40</f>
        <v/>
      </c>
      <c r="G141" s="204">
        <f>'Kassaflöde inmatning'!$E$40</f>
        <v/>
      </c>
      <c r="H141" s="204">
        <f>SWITCH(E141,"Månadsvis",DATE(YEAR(B141),MONTH(B141),MIN(F141,DAY(EOMONTH(B141,0)))),"Kvartalsvis",DATE(YEAR(B141),CEILING(MONTH(B141),3),MIN(F141,DAY(EOMONTH(DATE(YEAR(B141),CEILING(MONTH(B141),3),1),0)))),"Halvårsvis",DATE(YEAR(B141),IF(MONTH(B141)&lt;=6,6,12),MIN(F141,DAY(EOMONTH(DATE(YEAR(B141),IF(MONTH(B141)&lt;=6,6,12),1),0)))),"Årsvis",DATE(YEAR(B141),G141,MIN(F141,DAY(EOMONTH(DATE(YEAR(B141),G141,1),0)))))</f>
        <v/>
      </c>
      <c r="I141" s="204">
        <f>DATE(YEAR(H141),MONTH(H141),1)</f>
        <v/>
      </c>
    </row>
    <row r="142">
      <c r="A142" s="203" t="inlineStr">
        <is>
          <t>Representation</t>
        </is>
      </c>
      <c r="B142" s="204" t="n">
        <v>46357</v>
      </c>
      <c r="C142" s="205">
        <f>'Budget maj-dec 2026'!I75</f>
        <v/>
      </c>
      <c r="D142" s="205">
        <f>IF('Kassaflöde inmatning'!$F$40="Ja",C142*'Kassaflöde inmatning'!$B$6,0)</f>
        <v/>
      </c>
      <c r="E142" s="203">
        <f>'Kassaflöde inmatning'!$C$40</f>
        <v/>
      </c>
      <c r="F142" s="203">
        <f>'Kassaflöde inmatning'!$D$40</f>
        <v/>
      </c>
      <c r="G142" s="204">
        <f>'Kassaflöde inmatning'!$E$40</f>
        <v/>
      </c>
      <c r="H142" s="204">
        <f>SWITCH(E142,"Månadsvis",DATE(YEAR(B142),MONTH(B142),MIN(F142,DAY(EOMONTH(B142,0)))),"Kvartalsvis",DATE(YEAR(B142),CEILING(MONTH(B142),3),MIN(F142,DAY(EOMONTH(DATE(YEAR(B142),CEILING(MONTH(B142),3),1),0)))),"Halvårsvis",DATE(YEAR(B142),IF(MONTH(B142)&lt;=6,6,12),MIN(F142,DAY(EOMONTH(DATE(YEAR(B142),IF(MONTH(B142)&lt;=6,6,12),1),0)))),"Årsvis",DATE(YEAR(B142),G142,MIN(F142,DAY(EOMONTH(DATE(YEAR(B142),G142,1),0)))))</f>
        <v/>
      </c>
      <c r="I142" s="204">
        <f>DATE(YEAR(H142),MONTH(H142),1)</f>
        <v/>
      </c>
    </row>
    <row r="143">
      <c r="A143" s="203" t="inlineStr">
        <is>
          <t>Telefonabbonemang</t>
        </is>
      </c>
      <c r="B143" s="204" t="n">
        <v>46143</v>
      </c>
      <c r="C143" s="205">
        <f>'Budget maj-dec 2026'!B76</f>
        <v/>
      </c>
      <c r="D143" s="205">
        <f>IF('Kassaflöde inmatning'!$F$41="Ja",C143*'Kassaflöde inmatning'!$B$6,0)</f>
        <v/>
      </c>
      <c r="E143" s="203">
        <f>'Kassaflöde inmatning'!$C$41</f>
        <v/>
      </c>
      <c r="F143" s="203">
        <f>'Kassaflöde inmatning'!$D$41</f>
        <v/>
      </c>
      <c r="G143" s="204">
        <f>'Kassaflöde inmatning'!$E$41</f>
        <v/>
      </c>
      <c r="H143" s="204">
        <f>SWITCH(E143,"Månadsvis",DATE(YEAR(B143),MONTH(B143),MIN(F143,DAY(EOMONTH(B143,0)))),"Kvartalsvis",DATE(YEAR(B143),CEILING(MONTH(B143),3),MIN(F143,DAY(EOMONTH(DATE(YEAR(B143),CEILING(MONTH(B143),3),1),0)))),"Halvårsvis",DATE(YEAR(B143),IF(MONTH(B143)&lt;=6,6,12),MIN(F143,DAY(EOMONTH(DATE(YEAR(B143),IF(MONTH(B143)&lt;=6,6,12),1),0)))),"Årsvis",DATE(YEAR(B143),G143,MIN(F143,DAY(EOMONTH(DATE(YEAR(B143),G143,1),0)))))</f>
        <v/>
      </c>
      <c r="I143" s="204">
        <f>DATE(YEAR(H143),MONTH(H143),1)</f>
        <v/>
      </c>
    </row>
    <row r="144">
      <c r="A144" s="203" t="inlineStr">
        <is>
          <t>Telefonabbonemang</t>
        </is>
      </c>
      <c r="B144" s="204" t="n">
        <v>46174</v>
      </c>
      <c r="C144" s="205">
        <f>'Budget maj-dec 2026'!C76</f>
        <v/>
      </c>
      <c r="D144" s="205">
        <f>IF('Kassaflöde inmatning'!$F$41="Ja",C144*'Kassaflöde inmatning'!$B$6,0)</f>
        <v/>
      </c>
      <c r="E144" s="203">
        <f>'Kassaflöde inmatning'!$C$41</f>
        <v/>
      </c>
      <c r="F144" s="203">
        <f>'Kassaflöde inmatning'!$D$41</f>
        <v/>
      </c>
      <c r="G144" s="204">
        <f>'Kassaflöde inmatning'!$E$41</f>
        <v/>
      </c>
      <c r="H144" s="204">
        <f>SWITCH(E144,"Månadsvis",DATE(YEAR(B144),MONTH(B144),MIN(F144,DAY(EOMONTH(B144,0)))),"Kvartalsvis",DATE(YEAR(B144),CEILING(MONTH(B144),3),MIN(F144,DAY(EOMONTH(DATE(YEAR(B144),CEILING(MONTH(B144),3),1),0)))),"Halvårsvis",DATE(YEAR(B144),IF(MONTH(B144)&lt;=6,6,12),MIN(F144,DAY(EOMONTH(DATE(YEAR(B144),IF(MONTH(B144)&lt;=6,6,12),1),0)))),"Årsvis",DATE(YEAR(B144),G144,MIN(F144,DAY(EOMONTH(DATE(YEAR(B144),G144,1),0)))))</f>
        <v/>
      </c>
      <c r="I144" s="204">
        <f>DATE(YEAR(H144),MONTH(H144),1)</f>
        <v/>
      </c>
    </row>
    <row r="145">
      <c r="A145" s="203" t="inlineStr">
        <is>
          <t>Telefonabbonemang</t>
        </is>
      </c>
      <c r="B145" s="204" t="n">
        <v>46204</v>
      </c>
      <c r="C145" s="205">
        <f>'Budget maj-dec 2026'!D76</f>
        <v/>
      </c>
      <c r="D145" s="205">
        <f>IF('Kassaflöde inmatning'!$F$41="Ja",C145*'Kassaflöde inmatning'!$B$6,0)</f>
        <v/>
      </c>
      <c r="E145" s="203">
        <f>'Kassaflöde inmatning'!$C$41</f>
        <v/>
      </c>
      <c r="F145" s="203">
        <f>'Kassaflöde inmatning'!$D$41</f>
        <v/>
      </c>
      <c r="G145" s="204">
        <f>'Kassaflöde inmatning'!$E$41</f>
        <v/>
      </c>
      <c r="H145" s="204">
        <f>SWITCH(E145,"Månadsvis",DATE(YEAR(B145),MONTH(B145),MIN(F145,DAY(EOMONTH(B145,0)))),"Kvartalsvis",DATE(YEAR(B145),CEILING(MONTH(B145),3),MIN(F145,DAY(EOMONTH(DATE(YEAR(B145),CEILING(MONTH(B145),3),1),0)))),"Halvårsvis",DATE(YEAR(B145),IF(MONTH(B145)&lt;=6,6,12),MIN(F145,DAY(EOMONTH(DATE(YEAR(B145),IF(MONTH(B145)&lt;=6,6,12),1),0)))),"Årsvis",DATE(YEAR(B145),G145,MIN(F145,DAY(EOMONTH(DATE(YEAR(B145),G145,1),0)))))</f>
        <v/>
      </c>
      <c r="I145" s="204">
        <f>DATE(YEAR(H145),MONTH(H145),1)</f>
        <v/>
      </c>
    </row>
    <row r="146">
      <c r="A146" s="203" t="inlineStr">
        <is>
          <t>Telefonabbonemang</t>
        </is>
      </c>
      <c r="B146" s="204" t="n">
        <v>46235</v>
      </c>
      <c r="C146" s="205">
        <f>'Budget maj-dec 2026'!E76</f>
        <v/>
      </c>
      <c r="D146" s="205">
        <f>IF('Kassaflöde inmatning'!$F$41="Ja",C146*'Kassaflöde inmatning'!$B$6,0)</f>
        <v/>
      </c>
      <c r="E146" s="203">
        <f>'Kassaflöde inmatning'!$C$41</f>
        <v/>
      </c>
      <c r="F146" s="203">
        <f>'Kassaflöde inmatning'!$D$41</f>
        <v/>
      </c>
      <c r="G146" s="204">
        <f>'Kassaflöde inmatning'!$E$41</f>
        <v/>
      </c>
      <c r="H146" s="204">
        <f>SWITCH(E146,"Månadsvis",DATE(YEAR(B146),MONTH(B146),MIN(F146,DAY(EOMONTH(B146,0)))),"Kvartalsvis",DATE(YEAR(B146),CEILING(MONTH(B146),3),MIN(F146,DAY(EOMONTH(DATE(YEAR(B146),CEILING(MONTH(B146),3),1),0)))),"Halvårsvis",DATE(YEAR(B146),IF(MONTH(B146)&lt;=6,6,12),MIN(F146,DAY(EOMONTH(DATE(YEAR(B146),IF(MONTH(B146)&lt;=6,6,12),1),0)))),"Årsvis",DATE(YEAR(B146),G146,MIN(F146,DAY(EOMONTH(DATE(YEAR(B146),G146,1),0)))))</f>
        <v/>
      </c>
      <c r="I146" s="204">
        <f>DATE(YEAR(H146),MONTH(H146),1)</f>
        <v/>
      </c>
    </row>
    <row r="147">
      <c r="A147" s="203" t="inlineStr">
        <is>
          <t>Telefonabbonemang</t>
        </is>
      </c>
      <c r="B147" s="204" t="n">
        <v>46266</v>
      </c>
      <c r="C147" s="205">
        <f>'Budget maj-dec 2026'!F76</f>
        <v/>
      </c>
      <c r="D147" s="205">
        <f>IF('Kassaflöde inmatning'!$F$41="Ja",C147*'Kassaflöde inmatning'!$B$6,0)</f>
        <v/>
      </c>
      <c r="E147" s="203">
        <f>'Kassaflöde inmatning'!$C$41</f>
        <v/>
      </c>
      <c r="F147" s="203">
        <f>'Kassaflöde inmatning'!$D$41</f>
        <v/>
      </c>
      <c r="G147" s="204">
        <f>'Kassaflöde inmatning'!$E$41</f>
        <v/>
      </c>
      <c r="H147" s="204">
        <f>SWITCH(E147,"Månadsvis",DATE(YEAR(B147),MONTH(B147),MIN(F147,DAY(EOMONTH(B147,0)))),"Kvartalsvis",DATE(YEAR(B147),CEILING(MONTH(B147),3),MIN(F147,DAY(EOMONTH(DATE(YEAR(B147),CEILING(MONTH(B147),3),1),0)))),"Halvårsvis",DATE(YEAR(B147),IF(MONTH(B147)&lt;=6,6,12),MIN(F147,DAY(EOMONTH(DATE(YEAR(B147),IF(MONTH(B147)&lt;=6,6,12),1),0)))),"Årsvis",DATE(YEAR(B147),G147,MIN(F147,DAY(EOMONTH(DATE(YEAR(B147),G147,1),0)))))</f>
        <v/>
      </c>
      <c r="I147" s="204">
        <f>DATE(YEAR(H147),MONTH(H147),1)</f>
        <v/>
      </c>
    </row>
    <row r="148">
      <c r="A148" s="203" t="inlineStr">
        <is>
          <t>Telefonabbonemang</t>
        </is>
      </c>
      <c r="B148" s="204" t="n">
        <v>46296</v>
      </c>
      <c r="C148" s="205">
        <f>'Budget maj-dec 2026'!G76</f>
        <v/>
      </c>
      <c r="D148" s="205">
        <f>IF('Kassaflöde inmatning'!$F$41="Ja",C148*'Kassaflöde inmatning'!$B$6,0)</f>
        <v/>
      </c>
      <c r="E148" s="203">
        <f>'Kassaflöde inmatning'!$C$41</f>
        <v/>
      </c>
      <c r="F148" s="203">
        <f>'Kassaflöde inmatning'!$D$41</f>
        <v/>
      </c>
      <c r="G148" s="204">
        <f>'Kassaflöde inmatning'!$E$41</f>
        <v/>
      </c>
      <c r="H148" s="204">
        <f>SWITCH(E148,"Månadsvis",DATE(YEAR(B148),MONTH(B148),MIN(F148,DAY(EOMONTH(B148,0)))),"Kvartalsvis",DATE(YEAR(B148),CEILING(MONTH(B148),3),MIN(F148,DAY(EOMONTH(DATE(YEAR(B148),CEILING(MONTH(B148),3),1),0)))),"Halvårsvis",DATE(YEAR(B148),IF(MONTH(B148)&lt;=6,6,12),MIN(F148,DAY(EOMONTH(DATE(YEAR(B148),IF(MONTH(B148)&lt;=6,6,12),1),0)))),"Årsvis",DATE(YEAR(B148),G148,MIN(F148,DAY(EOMONTH(DATE(YEAR(B148),G148,1),0)))))</f>
        <v/>
      </c>
      <c r="I148" s="204">
        <f>DATE(YEAR(H148),MONTH(H148),1)</f>
        <v/>
      </c>
    </row>
    <row r="149">
      <c r="A149" s="203" t="inlineStr">
        <is>
          <t>Telefonabbonemang</t>
        </is>
      </c>
      <c r="B149" s="204" t="n">
        <v>46327</v>
      </c>
      <c r="C149" s="205">
        <f>'Budget maj-dec 2026'!H76</f>
        <v/>
      </c>
      <c r="D149" s="205">
        <f>IF('Kassaflöde inmatning'!$F$41="Ja",C149*'Kassaflöde inmatning'!$B$6,0)</f>
        <v/>
      </c>
      <c r="E149" s="203">
        <f>'Kassaflöde inmatning'!$C$41</f>
        <v/>
      </c>
      <c r="F149" s="203">
        <f>'Kassaflöde inmatning'!$D$41</f>
        <v/>
      </c>
      <c r="G149" s="204">
        <f>'Kassaflöde inmatning'!$E$41</f>
        <v/>
      </c>
      <c r="H149" s="204">
        <f>SWITCH(E149,"Månadsvis",DATE(YEAR(B149),MONTH(B149),MIN(F149,DAY(EOMONTH(B149,0)))),"Kvartalsvis",DATE(YEAR(B149),CEILING(MONTH(B149),3),MIN(F149,DAY(EOMONTH(DATE(YEAR(B149),CEILING(MONTH(B149),3),1),0)))),"Halvårsvis",DATE(YEAR(B149),IF(MONTH(B149)&lt;=6,6,12),MIN(F149,DAY(EOMONTH(DATE(YEAR(B149),IF(MONTH(B149)&lt;=6,6,12),1),0)))),"Årsvis",DATE(YEAR(B149),G149,MIN(F149,DAY(EOMONTH(DATE(YEAR(B149),G149,1),0)))))</f>
        <v/>
      </c>
      <c r="I149" s="204">
        <f>DATE(YEAR(H149),MONTH(H149),1)</f>
        <v/>
      </c>
    </row>
    <row r="150">
      <c r="A150" s="203" t="inlineStr">
        <is>
          <t>Telefonabbonemang</t>
        </is>
      </c>
      <c r="B150" s="204" t="n">
        <v>46357</v>
      </c>
      <c r="C150" s="205">
        <f>'Budget maj-dec 2026'!I76</f>
        <v/>
      </c>
      <c r="D150" s="205">
        <f>IF('Kassaflöde inmatning'!$F$41="Ja",C150*'Kassaflöde inmatning'!$B$6,0)</f>
        <v/>
      </c>
      <c r="E150" s="203">
        <f>'Kassaflöde inmatning'!$C$41</f>
        <v/>
      </c>
      <c r="F150" s="203">
        <f>'Kassaflöde inmatning'!$D$41</f>
        <v/>
      </c>
      <c r="G150" s="204">
        <f>'Kassaflöde inmatning'!$E$41</f>
        <v/>
      </c>
      <c r="H150" s="204">
        <f>SWITCH(E150,"Månadsvis",DATE(YEAR(B150),MONTH(B150),MIN(F150,DAY(EOMONTH(B150,0)))),"Kvartalsvis",DATE(YEAR(B150),CEILING(MONTH(B150),3),MIN(F150,DAY(EOMONTH(DATE(YEAR(B150),CEILING(MONTH(B150),3),1),0)))),"Halvårsvis",DATE(YEAR(B150),IF(MONTH(B150)&lt;=6,6,12),MIN(F150,DAY(EOMONTH(DATE(YEAR(B150),IF(MONTH(B150)&lt;=6,6,12),1),0)))),"Årsvis",DATE(YEAR(B150),G150,MIN(F150,DAY(EOMONTH(DATE(YEAR(B150),G150,1),0)))))</f>
        <v/>
      </c>
      <c r="I150" s="204">
        <f>DATE(YEAR(H150),MONTH(H150),1)</f>
        <v/>
      </c>
    </row>
    <row r="151">
      <c r="A151" s="203" t="inlineStr">
        <is>
          <t>Bokföring/Fakturering</t>
        </is>
      </c>
      <c r="B151" s="204" t="n">
        <v>46143</v>
      </c>
      <c r="C151" s="205">
        <f>'Budget maj-dec 2026'!B77</f>
        <v/>
      </c>
      <c r="D151" s="205">
        <f>IF('Kassaflöde inmatning'!$F$42="Ja",C151*'Kassaflöde inmatning'!$B$6,0)</f>
        <v/>
      </c>
      <c r="E151" s="203">
        <f>'Kassaflöde inmatning'!$C$42</f>
        <v/>
      </c>
      <c r="F151" s="203">
        <f>'Kassaflöde inmatning'!$D$42</f>
        <v/>
      </c>
      <c r="G151" s="204">
        <f>'Kassaflöde inmatning'!$E$42</f>
        <v/>
      </c>
      <c r="H151" s="204">
        <f>SWITCH(E151,"Månadsvis",DATE(YEAR(B151),MONTH(B151),MIN(F151,DAY(EOMONTH(B151,0)))),"Kvartalsvis",DATE(YEAR(B151),CEILING(MONTH(B151),3),MIN(F151,DAY(EOMONTH(DATE(YEAR(B151),CEILING(MONTH(B151),3),1),0)))),"Halvårsvis",DATE(YEAR(B151),IF(MONTH(B151)&lt;=6,6,12),MIN(F151,DAY(EOMONTH(DATE(YEAR(B151),IF(MONTH(B151)&lt;=6,6,12),1),0)))),"Årsvis",DATE(YEAR(B151),G151,MIN(F151,DAY(EOMONTH(DATE(YEAR(B151),G151,1),0)))))</f>
        <v/>
      </c>
      <c r="I151" s="204">
        <f>DATE(YEAR(H151),MONTH(H151),1)</f>
        <v/>
      </c>
    </row>
    <row r="152">
      <c r="A152" s="203" t="inlineStr">
        <is>
          <t>Bokföring/Fakturering</t>
        </is>
      </c>
      <c r="B152" s="204" t="n">
        <v>46174</v>
      </c>
      <c r="C152" s="205">
        <f>'Budget maj-dec 2026'!C77</f>
        <v/>
      </c>
      <c r="D152" s="205">
        <f>IF('Kassaflöde inmatning'!$F$42="Ja",C152*'Kassaflöde inmatning'!$B$6,0)</f>
        <v/>
      </c>
      <c r="E152" s="203">
        <f>'Kassaflöde inmatning'!$C$42</f>
        <v/>
      </c>
      <c r="F152" s="203">
        <f>'Kassaflöde inmatning'!$D$42</f>
        <v/>
      </c>
      <c r="G152" s="204">
        <f>'Kassaflöde inmatning'!$E$42</f>
        <v/>
      </c>
      <c r="H152" s="204">
        <f>SWITCH(E152,"Månadsvis",DATE(YEAR(B152),MONTH(B152),MIN(F152,DAY(EOMONTH(B152,0)))),"Kvartalsvis",DATE(YEAR(B152),CEILING(MONTH(B152),3),MIN(F152,DAY(EOMONTH(DATE(YEAR(B152),CEILING(MONTH(B152),3),1),0)))),"Halvårsvis",DATE(YEAR(B152),IF(MONTH(B152)&lt;=6,6,12),MIN(F152,DAY(EOMONTH(DATE(YEAR(B152),IF(MONTH(B152)&lt;=6,6,12),1),0)))),"Årsvis",DATE(YEAR(B152),G152,MIN(F152,DAY(EOMONTH(DATE(YEAR(B152),G152,1),0)))))</f>
        <v/>
      </c>
      <c r="I152" s="204">
        <f>DATE(YEAR(H152),MONTH(H152),1)</f>
        <v/>
      </c>
    </row>
    <row r="153">
      <c r="A153" s="203" t="inlineStr">
        <is>
          <t>Bokföring/Fakturering</t>
        </is>
      </c>
      <c r="B153" s="204" t="n">
        <v>46204</v>
      </c>
      <c r="C153" s="205">
        <f>'Budget maj-dec 2026'!D77</f>
        <v/>
      </c>
      <c r="D153" s="205">
        <f>IF('Kassaflöde inmatning'!$F$42="Ja",C153*'Kassaflöde inmatning'!$B$6,0)</f>
        <v/>
      </c>
      <c r="E153" s="203">
        <f>'Kassaflöde inmatning'!$C$42</f>
        <v/>
      </c>
      <c r="F153" s="203">
        <f>'Kassaflöde inmatning'!$D$42</f>
        <v/>
      </c>
      <c r="G153" s="204">
        <f>'Kassaflöde inmatning'!$E$42</f>
        <v/>
      </c>
      <c r="H153" s="204">
        <f>SWITCH(E153,"Månadsvis",DATE(YEAR(B153),MONTH(B153),MIN(F153,DAY(EOMONTH(B153,0)))),"Kvartalsvis",DATE(YEAR(B153),CEILING(MONTH(B153),3),MIN(F153,DAY(EOMONTH(DATE(YEAR(B153),CEILING(MONTH(B153),3),1),0)))),"Halvårsvis",DATE(YEAR(B153),IF(MONTH(B153)&lt;=6,6,12),MIN(F153,DAY(EOMONTH(DATE(YEAR(B153),IF(MONTH(B153)&lt;=6,6,12),1),0)))),"Årsvis",DATE(YEAR(B153),G153,MIN(F153,DAY(EOMONTH(DATE(YEAR(B153),G153,1),0)))))</f>
        <v/>
      </c>
      <c r="I153" s="204">
        <f>DATE(YEAR(H153),MONTH(H153),1)</f>
        <v/>
      </c>
    </row>
    <row r="154">
      <c r="A154" s="203" t="inlineStr">
        <is>
          <t>Bokföring/Fakturering</t>
        </is>
      </c>
      <c r="B154" s="204" t="n">
        <v>46235</v>
      </c>
      <c r="C154" s="205">
        <f>'Budget maj-dec 2026'!E77</f>
        <v/>
      </c>
      <c r="D154" s="205">
        <f>IF('Kassaflöde inmatning'!$F$42="Ja",C154*'Kassaflöde inmatning'!$B$6,0)</f>
        <v/>
      </c>
      <c r="E154" s="203">
        <f>'Kassaflöde inmatning'!$C$42</f>
        <v/>
      </c>
      <c r="F154" s="203">
        <f>'Kassaflöde inmatning'!$D$42</f>
        <v/>
      </c>
      <c r="G154" s="204">
        <f>'Kassaflöde inmatning'!$E$42</f>
        <v/>
      </c>
      <c r="H154" s="204">
        <f>SWITCH(E154,"Månadsvis",DATE(YEAR(B154),MONTH(B154),MIN(F154,DAY(EOMONTH(B154,0)))),"Kvartalsvis",DATE(YEAR(B154),CEILING(MONTH(B154),3),MIN(F154,DAY(EOMONTH(DATE(YEAR(B154),CEILING(MONTH(B154),3),1),0)))),"Halvårsvis",DATE(YEAR(B154),IF(MONTH(B154)&lt;=6,6,12),MIN(F154,DAY(EOMONTH(DATE(YEAR(B154),IF(MONTH(B154)&lt;=6,6,12),1),0)))),"Årsvis",DATE(YEAR(B154),G154,MIN(F154,DAY(EOMONTH(DATE(YEAR(B154),G154,1),0)))))</f>
        <v/>
      </c>
      <c r="I154" s="204">
        <f>DATE(YEAR(H154),MONTH(H154),1)</f>
        <v/>
      </c>
    </row>
    <row r="155">
      <c r="A155" s="203" t="inlineStr">
        <is>
          <t>Bokföring/Fakturering</t>
        </is>
      </c>
      <c r="B155" s="204" t="n">
        <v>46266</v>
      </c>
      <c r="C155" s="205">
        <f>'Budget maj-dec 2026'!F77</f>
        <v/>
      </c>
      <c r="D155" s="205">
        <f>IF('Kassaflöde inmatning'!$F$42="Ja",C155*'Kassaflöde inmatning'!$B$6,0)</f>
        <v/>
      </c>
      <c r="E155" s="203">
        <f>'Kassaflöde inmatning'!$C$42</f>
        <v/>
      </c>
      <c r="F155" s="203">
        <f>'Kassaflöde inmatning'!$D$42</f>
        <v/>
      </c>
      <c r="G155" s="204">
        <f>'Kassaflöde inmatning'!$E$42</f>
        <v/>
      </c>
      <c r="H155" s="204">
        <f>SWITCH(E155,"Månadsvis",DATE(YEAR(B155),MONTH(B155),MIN(F155,DAY(EOMONTH(B155,0)))),"Kvartalsvis",DATE(YEAR(B155),CEILING(MONTH(B155),3),MIN(F155,DAY(EOMONTH(DATE(YEAR(B155),CEILING(MONTH(B155),3),1),0)))),"Halvårsvis",DATE(YEAR(B155),IF(MONTH(B155)&lt;=6,6,12),MIN(F155,DAY(EOMONTH(DATE(YEAR(B155),IF(MONTH(B155)&lt;=6,6,12),1),0)))),"Årsvis",DATE(YEAR(B155),G155,MIN(F155,DAY(EOMONTH(DATE(YEAR(B155),G155,1),0)))))</f>
        <v/>
      </c>
      <c r="I155" s="204">
        <f>DATE(YEAR(H155),MONTH(H155),1)</f>
        <v/>
      </c>
    </row>
    <row r="156">
      <c r="A156" s="203" t="inlineStr">
        <is>
          <t>Bokföring/Fakturering</t>
        </is>
      </c>
      <c r="B156" s="204" t="n">
        <v>46296</v>
      </c>
      <c r="C156" s="205">
        <f>'Budget maj-dec 2026'!G77</f>
        <v/>
      </c>
      <c r="D156" s="205">
        <f>IF('Kassaflöde inmatning'!$F$42="Ja",C156*'Kassaflöde inmatning'!$B$6,0)</f>
        <v/>
      </c>
      <c r="E156" s="203">
        <f>'Kassaflöde inmatning'!$C$42</f>
        <v/>
      </c>
      <c r="F156" s="203">
        <f>'Kassaflöde inmatning'!$D$42</f>
        <v/>
      </c>
      <c r="G156" s="204">
        <f>'Kassaflöde inmatning'!$E$42</f>
        <v/>
      </c>
      <c r="H156" s="204">
        <f>SWITCH(E156,"Månadsvis",DATE(YEAR(B156),MONTH(B156),MIN(F156,DAY(EOMONTH(B156,0)))),"Kvartalsvis",DATE(YEAR(B156),CEILING(MONTH(B156),3),MIN(F156,DAY(EOMONTH(DATE(YEAR(B156),CEILING(MONTH(B156),3),1),0)))),"Halvårsvis",DATE(YEAR(B156),IF(MONTH(B156)&lt;=6,6,12),MIN(F156,DAY(EOMONTH(DATE(YEAR(B156),IF(MONTH(B156)&lt;=6,6,12),1),0)))),"Årsvis",DATE(YEAR(B156),G156,MIN(F156,DAY(EOMONTH(DATE(YEAR(B156),G156,1),0)))))</f>
        <v/>
      </c>
      <c r="I156" s="204">
        <f>DATE(YEAR(H156),MONTH(H156),1)</f>
        <v/>
      </c>
    </row>
    <row r="157">
      <c r="A157" s="203" t="inlineStr">
        <is>
          <t>Bokföring/Fakturering</t>
        </is>
      </c>
      <c r="B157" s="204" t="n">
        <v>46327</v>
      </c>
      <c r="C157" s="205">
        <f>'Budget maj-dec 2026'!H77</f>
        <v/>
      </c>
      <c r="D157" s="205">
        <f>IF('Kassaflöde inmatning'!$F$42="Ja",C157*'Kassaflöde inmatning'!$B$6,0)</f>
        <v/>
      </c>
      <c r="E157" s="203">
        <f>'Kassaflöde inmatning'!$C$42</f>
        <v/>
      </c>
      <c r="F157" s="203">
        <f>'Kassaflöde inmatning'!$D$42</f>
        <v/>
      </c>
      <c r="G157" s="204">
        <f>'Kassaflöde inmatning'!$E$42</f>
        <v/>
      </c>
      <c r="H157" s="204">
        <f>SWITCH(E157,"Månadsvis",DATE(YEAR(B157),MONTH(B157),MIN(F157,DAY(EOMONTH(B157,0)))),"Kvartalsvis",DATE(YEAR(B157),CEILING(MONTH(B157),3),MIN(F157,DAY(EOMONTH(DATE(YEAR(B157),CEILING(MONTH(B157),3),1),0)))),"Halvårsvis",DATE(YEAR(B157),IF(MONTH(B157)&lt;=6,6,12),MIN(F157,DAY(EOMONTH(DATE(YEAR(B157),IF(MONTH(B157)&lt;=6,6,12),1),0)))),"Årsvis",DATE(YEAR(B157),G157,MIN(F157,DAY(EOMONTH(DATE(YEAR(B157),G157,1),0)))))</f>
        <v/>
      </c>
      <c r="I157" s="204">
        <f>DATE(YEAR(H157),MONTH(H157),1)</f>
        <v/>
      </c>
    </row>
    <row r="158">
      <c r="A158" s="203" t="inlineStr">
        <is>
          <t>Bokföring/Fakturering</t>
        </is>
      </c>
      <c r="B158" s="204" t="n">
        <v>46357</v>
      </c>
      <c r="C158" s="205">
        <f>'Budget maj-dec 2026'!I77</f>
        <v/>
      </c>
      <c r="D158" s="205">
        <f>IF('Kassaflöde inmatning'!$F$42="Ja",C158*'Kassaflöde inmatning'!$B$6,0)</f>
        <v/>
      </c>
      <c r="E158" s="203">
        <f>'Kassaflöde inmatning'!$C$42</f>
        <v/>
      </c>
      <c r="F158" s="203">
        <f>'Kassaflöde inmatning'!$D$42</f>
        <v/>
      </c>
      <c r="G158" s="204">
        <f>'Kassaflöde inmatning'!$E$42</f>
        <v/>
      </c>
      <c r="H158" s="204">
        <f>SWITCH(E158,"Månadsvis",DATE(YEAR(B158),MONTH(B158),MIN(F158,DAY(EOMONTH(B158,0)))),"Kvartalsvis",DATE(YEAR(B158),CEILING(MONTH(B158),3),MIN(F158,DAY(EOMONTH(DATE(YEAR(B158),CEILING(MONTH(B158),3),1),0)))),"Halvårsvis",DATE(YEAR(B158),IF(MONTH(B158)&lt;=6,6,12),MIN(F158,DAY(EOMONTH(DATE(YEAR(B158),IF(MONTH(B158)&lt;=6,6,12),1),0)))),"Årsvis",DATE(YEAR(B158),G158,MIN(F158,DAY(EOMONTH(DATE(YEAR(B158),G158,1),0)))))</f>
        <v/>
      </c>
      <c r="I158" s="204">
        <f>DATE(YEAR(H158),MONTH(H158),1)</f>
        <v/>
      </c>
    </row>
    <row r="159">
      <c r="A159" s="203" t="inlineStr">
        <is>
          <t>Projektstyrning</t>
        </is>
      </c>
      <c r="B159" s="204" t="n">
        <v>46143</v>
      </c>
      <c r="C159" s="205">
        <f>'Budget maj-dec 2026'!B78</f>
        <v/>
      </c>
      <c r="D159" s="205">
        <f>IF('Kassaflöde inmatning'!$F$43="Ja",C159*'Kassaflöde inmatning'!$B$6,0)</f>
        <v/>
      </c>
      <c r="E159" s="203">
        <f>'Kassaflöde inmatning'!$C$43</f>
        <v/>
      </c>
      <c r="F159" s="203">
        <f>'Kassaflöde inmatning'!$D$43</f>
        <v/>
      </c>
      <c r="G159" s="204">
        <f>'Kassaflöde inmatning'!$E$43</f>
        <v/>
      </c>
      <c r="H159" s="204">
        <f>SWITCH(E159,"Månadsvis",DATE(YEAR(B159),MONTH(B159),MIN(F159,DAY(EOMONTH(B159,0)))),"Kvartalsvis",DATE(YEAR(B159),CEILING(MONTH(B159),3),MIN(F159,DAY(EOMONTH(DATE(YEAR(B159),CEILING(MONTH(B159),3),1),0)))),"Halvårsvis",DATE(YEAR(B159),IF(MONTH(B159)&lt;=6,6,12),MIN(F159,DAY(EOMONTH(DATE(YEAR(B159),IF(MONTH(B159)&lt;=6,6,12),1),0)))),"Årsvis",DATE(YEAR(B159),G159,MIN(F159,DAY(EOMONTH(DATE(YEAR(B159),G159,1),0)))))</f>
        <v/>
      </c>
      <c r="I159" s="204">
        <f>DATE(YEAR(H159),MONTH(H159),1)</f>
        <v/>
      </c>
    </row>
    <row r="160">
      <c r="A160" s="203" t="inlineStr">
        <is>
          <t>Projektstyrning</t>
        </is>
      </c>
      <c r="B160" s="204" t="n">
        <v>46174</v>
      </c>
      <c r="C160" s="205">
        <f>'Budget maj-dec 2026'!C78</f>
        <v/>
      </c>
      <c r="D160" s="205">
        <f>IF('Kassaflöde inmatning'!$F$43="Ja",C160*'Kassaflöde inmatning'!$B$6,0)</f>
        <v/>
      </c>
      <c r="E160" s="203">
        <f>'Kassaflöde inmatning'!$C$43</f>
        <v/>
      </c>
      <c r="F160" s="203">
        <f>'Kassaflöde inmatning'!$D$43</f>
        <v/>
      </c>
      <c r="G160" s="204">
        <f>'Kassaflöde inmatning'!$E$43</f>
        <v/>
      </c>
      <c r="H160" s="204">
        <f>SWITCH(E160,"Månadsvis",DATE(YEAR(B160),MONTH(B160),MIN(F160,DAY(EOMONTH(B160,0)))),"Kvartalsvis",DATE(YEAR(B160),CEILING(MONTH(B160),3),MIN(F160,DAY(EOMONTH(DATE(YEAR(B160),CEILING(MONTH(B160),3),1),0)))),"Halvårsvis",DATE(YEAR(B160),IF(MONTH(B160)&lt;=6,6,12),MIN(F160,DAY(EOMONTH(DATE(YEAR(B160),IF(MONTH(B160)&lt;=6,6,12),1),0)))),"Årsvis",DATE(YEAR(B160),G160,MIN(F160,DAY(EOMONTH(DATE(YEAR(B160),G160,1),0)))))</f>
        <v/>
      </c>
      <c r="I160" s="204">
        <f>DATE(YEAR(H160),MONTH(H160),1)</f>
        <v/>
      </c>
    </row>
    <row r="161">
      <c r="A161" s="203" t="inlineStr">
        <is>
          <t>Projektstyrning</t>
        </is>
      </c>
      <c r="B161" s="204" t="n">
        <v>46204</v>
      </c>
      <c r="C161" s="205">
        <f>'Budget maj-dec 2026'!D78</f>
        <v/>
      </c>
      <c r="D161" s="205">
        <f>IF('Kassaflöde inmatning'!$F$43="Ja",C161*'Kassaflöde inmatning'!$B$6,0)</f>
        <v/>
      </c>
      <c r="E161" s="203">
        <f>'Kassaflöde inmatning'!$C$43</f>
        <v/>
      </c>
      <c r="F161" s="203">
        <f>'Kassaflöde inmatning'!$D$43</f>
        <v/>
      </c>
      <c r="G161" s="204">
        <f>'Kassaflöde inmatning'!$E$43</f>
        <v/>
      </c>
      <c r="H161" s="204">
        <f>SWITCH(E161,"Månadsvis",DATE(YEAR(B161),MONTH(B161),MIN(F161,DAY(EOMONTH(B161,0)))),"Kvartalsvis",DATE(YEAR(B161),CEILING(MONTH(B161),3),MIN(F161,DAY(EOMONTH(DATE(YEAR(B161),CEILING(MONTH(B161),3),1),0)))),"Halvårsvis",DATE(YEAR(B161),IF(MONTH(B161)&lt;=6,6,12),MIN(F161,DAY(EOMONTH(DATE(YEAR(B161),IF(MONTH(B161)&lt;=6,6,12),1),0)))),"Årsvis",DATE(YEAR(B161),G161,MIN(F161,DAY(EOMONTH(DATE(YEAR(B161),G161,1),0)))))</f>
        <v/>
      </c>
      <c r="I161" s="204">
        <f>DATE(YEAR(H161),MONTH(H161),1)</f>
        <v/>
      </c>
    </row>
    <row r="162">
      <c r="A162" s="203" t="inlineStr">
        <is>
          <t>Projektstyrning</t>
        </is>
      </c>
      <c r="B162" s="204" t="n">
        <v>46235</v>
      </c>
      <c r="C162" s="205">
        <f>'Budget maj-dec 2026'!E78</f>
        <v/>
      </c>
      <c r="D162" s="205">
        <f>IF('Kassaflöde inmatning'!$F$43="Ja",C162*'Kassaflöde inmatning'!$B$6,0)</f>
        <v/>
      </c>
      <c r="E162" s="203">
        <f>'Kassaflöde inmatning'!$C$43</f>
        <v/>
      </c>
      <c r="F162" s="203">
        <f>'Kassaflöde inmatning'!$D$43</f>
        <v/>
      </c>
      <c r="G162" s="204">
        <f>'Kassaflöde inmatning'!$E$43</f>
        <v/>
      </c>
      <c r="H162" s="204">
        <f>SWITCH(E162,"Månadsvis",DATE(YEAR(B162),MONTH(B162),MIN(F162,DAY(EOMONTH(B162,0)))),"Kvartalsvis",DATE(YEAR(B162),CEILING(MONTH(B162),3),MIN(F162,DAY(EOMONTH(DATE(YEAR(B162),CEILING(MONTH(B162),3),1),0)))),"Halvårsvis",DATE(YEAR(B162),IF(MONTH(B162)&lt;=6,6,12),MIN(F162,DAY(EOMONTH(DATE(YEAR(B162),IF(MONTH(B162)&lt;=6,6,12),1),0)))),"Årsvis",DATE(YEAR(B162),G162,MIN(F162,DAY(EOMONTH(DATE(YEAR(B162),G162,1),0)))))</f>
        <v/>
      </c>
      <c r="I162" s="204">
        <f>DATE(YEAR(H162),MONTH(H162),1)</f>
        <v/>
      </c>
    </row>
    <row r="163">
      <c r="A163" s="203" t="inlineStr">
        <is>
          <t>Projektstyrning</t>
        </is>
      </c>
      <c r="B163" s="204" t="n">
        <v>46266</v>
      </c>
      <c r="C163" s="205">
        <f>'Budget maj-dec 2026'!F78</f>
        <v/>
      </c>
      <c r="D163" s="205">
        <f>IF('Kassaflöde inmatning'!$F$43="Ja",C163*'Kassaflöde inmatning'!$B$6,0)</f>
        <v/>
      </c>
      <c r="E163" s="203">
        <f>'Kassaflöde inmatning'!$C$43</f>
        <v/>
      </c>
      <c r="F163" s="203">
        <f>'Kassaflöde inmatning'!$D$43</f>
        <v/>
      </c>
      <c r="G163" s="204">
        <f>'Kassaflöde inmatning'!$E$43</f>
        <v/>
      </c>
      <c r="H163" s="204">
        <f>SWITCH(E163,"Månadsvis",DATE(YEAR(B163),MONTH(B163),MIN(F163,DAY(EOMONTH(B163,0)))),"Kvartalsvis",DATE(YEAR(B163),CEILING(MONTH(B163),3),MIN(F163,DAY(EOMONTH(DATE(YEAR(B163),CEILING(MONTH(B163),3),1),0)))),"Halvårsvis",DATE(YEAR(B163),IF(MONTH(B163)&lt;=6,6,12),MIN(F163,DAY(EOMONTH(DATE(YEAR(B163),IF(MONTH(B163)&lt;=6,6,12),1),0)))),"Årsvis",DATE(YEAR(B163),G163,MIN(F163,DAY(EOMONTH(DATE(YEAR(B163),G163,1),0)))))</f>
        <v/>
      </c>
      <c r="I163" s="204">
        <f>DATE(YEAR(H163),MONTH(H163),1)</f>
        <v/>
      </c>
    </row>
    <row r="164">
      <c r="A164" s="203" t="inlineStr">
        <is>
          <t>Projektstyrning</t>
        </is>
      </c>
      <c r="B164" s="204" t="n">
        <v>46296</v>
      </c>
      <c r="C164" s="205">
        <f>'Budget maj-dec 2026'!G78</f>
        <v/>
      </c>
      <c r="D164" s="205">
        <f>IF('Kassaflöde inmatning'!$F$43="Ja",C164*'Kassaflöde inmatning'!$B$6,0)</f>
        <v/>
      </c>
      <c r="E164" s="203">
        <f>'Kassaflöde inmatning'!$C$43</f>
        <v/>
      </c>
      <c r="F164" s="203">
        <f>'Kassaflöde inmatning'!$D$43</f>
        <v/>
      </c>
      <c r="G164" s="204">
        <f>'Kassaflöde inmatning'!$E$43</f>
        <v/>
      </c>
      <c r="H164" s="204">
        <f>SWITCH(E164,"Månadsvis",DATE(YEAR(B164),MONTH(B164),MIN(F164,DAY(EOMONTH(B164,0)))),"Kvartalsvis",DATE(YEAR(B164),CEILING(MONTH(B164),3),MIN(F164,DAY(EOMONTH(DATE(YEAR(B164),CEILING(MONTH(B164),3),1),0)))),"Halvårsvis",DATE(YEAR(B164),IF(MONTH(B164)&lt;=6,6,12),MIN(F164,DAY(EOMONTH(DATE(YEAR(B164),IF(MONTH(B164)&lt;=6,6,12),1),0)))),"Årsvis",DATE(YEAR(B164),G164,MIN(F164,DAY(EOMONTH(DATE(YEAR(B164),G164,1),0)))))</f>
        <v/>
      </c>
      <c r="I164" s="204">
        <f>DATE(YEAR(H164),MONTH(H164),1)</f>
        <v/>
      </c>
    </row>
    <row r="165">
      <c r="A165" s="203" t="inlineStr">
        <is>
          <t>Projektstyrning</t>
        </is>
      </c>
      <c r="B165" s="204" t="n">
        <v>46327</v>
      </c>
      <c r="C165" s="205">
        <f>'Budget maj-dec 2026'!H78</f>
        <v/>
      </c>
      <c r="D165" s="205">
        <f>IF('Kassaflöde inmatning'!$F$43="Ja",C165*'Kassaflöde inmatning'!$B$6,0)</f>
        <v/>
      </c>
      <c r="E165" s="203">
        <f>'Kassaflöde inmatning'!$C$43</f>
        <v/>
      </c>
      <c r="F165" s="203">
        <f>'Kassaflöde inmatning'!$D$43</f>
        <v/>
      </c>
      <c r="G165" s="204">
        <f>'Kassaflöde inmatning'!$E$43</f>
        <v/>
      </c>
      <c r="H165" s="204">
        <f>SWITCH(E165,"Månadsvis",DATE(YEAR(B165),MONTH(B165),MIN(F165,DAY(EOMONTH(B165,0)))),"Kvartalsvis",DATE(YEAR(B165),CEILING(MONTH(B165),3),MIN(F165,DAY(EOMONTH(DATE(YEAR(B165),CEILING(MONTH(B165),3),1),0)))),"Halvårsvis",DATE(YEAR(B165),IF(MONTH(B165)&lt;=6,6,12),MIN(F165,DAY(EOMONTH(DATE(YEAR(B165),IF(MONTH(B165)&lt;=6,6,12),1),0)))),"Årsvis",DATE(YEAR(B165),G165,MIN(F165,DAY(EOMONTH(DATE(YEAR(B165),G165,1),0)))))</f>
        <v/>
      </c>
      <c r="I165" s="204">
        <f>DATE(YEAR(H165),MONTH(H165),1)</f>
        <v/>
      </c>
    </row>
    <row r="166">
      <c r="A166" s="203" t="inlineStr">
        <is>
          <t>Projektstyrning</t>
        </is>
      </c>
      <c r="B166" s="204" t="n">
        <v>46357</v>
      </c>
      <c r="C166" s="205">
        <f>'Budget maj-dec 2026'!I78</f>
        <v/>
      </c>
      <c r="D166" s="205">
        <f>IF('Kassaflöde inmatning'!$F$43="Ja",C166*'Kassaflöde inmatning'!$B$6,0)</f>
        <v/>
      </c>
      <c r="E166" s="203">
        <f>'Kassaflöde inmatning'!$C$43</f>
        <v/>
      </c>
      <c r="F166" s="203">
        <f>'Kassaflöde inmatning'!$D$43</f>
        <v/>
      </c>
      <c r="G166" s="204">
        <f>'Kassaflöde inmatning'!$E$43</f>
        <v/>
      </c>
      <c r="H166" s="204">
        <f>SWITCH(E166,"Månadsvis",DATE(YEAR(B166),MONTH(B166),MIN(F166,DAY(EOMONTH(B166,0)))),"Kvartalsvis",DATE(YEAR(B166),CEILING(MONTH(B166),3),MIN(F166,DAY(EOMONTH(DATE(YEAR(B166),CEILING(MONTH(B166),3),1),0)))),"Halvårsvis",DATE(YEAR(B166),IF(MONTH(B166)&lt;=6,6,12),MIN(F166,DAY(EOMONTH(DATE(YEAR(B166),IF(MONTH(B166)&lt;=6,6,12),1),0)))),"Årsvis",DATE(YEAR(B166),G166,MIN(F166,DAY(EOMONTH(DATE(YEAR(B166),G166,1),0)))))</f>
        <v/>
      </c>
      <c r="I166" s="204">
        <f>DATE(YEAR(H166),MONTH(H166),1)</f>
        <v/>
      </c>
    </row>
    <row r="167">
      <c r="A167" s="203" t="inlineStr">
        <is>
          <t>Kontorshyra</t>
        </is>
      </c>
      <c r="B167" s="204" t="n">
        <v>46143</v>
      </c>
      <c r="C167" s="205">
        <f>'Budget maj-dec 2026'!B82</f>
        <v/>
      </c>
      <c r="D167" s="205">
        <f>IF('Kassaflöde inmatning'!$F$44="Ja",C167*'Kassaflöde inmatning'!$B$6,0)</f>
        <v/>
      </c>
      <c r="E167" s="203">
        <f>'Kassaflöde inmatning'!$C$44</f>
        <v/>
      </c>
      <c r="F167" s="203">
        <f>'Kassaflöde inmatning'!$D$44</f>
        <v/>
      </c>
      <c r="G167" s="204">
        <f>'Kassaflöde inmatning'!$E$44</f>
        <v/>
      </c>
      <c r="H167" s="204">
        <f>SWITCH(E167,"Månadsvis",DATE(YEAR(B167),MONTH(B167),MIN(F167,DAY(EOMONTH(B167,0)))),"Kvartalsvis",DATE(YEAR(B167),CEILING(MONTH(B167),3),MIN(F167,DAY(EOMONTH(DATE(YEAR(B167),CEILING(MONTH(B167),3),1),0)))),"Halvårsvis",DATE(YEAR(B167),IF(MONTH(B167)&lt;=6,6,12),MIN(F167,DAY(EOMONTH(DATE(YEAR(B167),IF(MONTH(B167)&lt;=6,6,12),1),0)))),"Årsvis",DATE(YEAR(B167),G167,MIN(F167,DAY(EOMONTH(DATE(YEAR(B167),G167,1),0)))))</f>
        <v/>
      </c>
      <c r="I167" s="204">
        <f>DATE(YEAR(H167),MONTH(H167),1)</f>
        <v/>
      </c>
    </row>
    <row r="168">
      <c r="A168" s="203" t="inlineStr">
        <is>
          <t>Kontorshyra</t>
        </is>
      </c>
      <c r="B168" s="204" t="n">
        <v>46174</v>
      </c>
      <c r="C168" s="205">
        <f>'Budget maj-dec 2026'!C82</f>
        <v/>
      </c>
      <c r="D168" s="205">
        <f>IF('Kassaflöde inmatning'!$F$44="Ja",C168*'Kassaflöde inmatning'!$B$6,0)</f>
        <v/>
      </c>
      <c r="E168" s="203">
        <f>'Kassaflöde inmatning'!$C$44</f>
        <v/>
      </c>
      <c r="F168" s="203">
        <f>'Kassaflöde inmatning'!$D$44</f>
        <v/>
      </c>
      <c r="G168" s="204">
        <f>'Kassaflöde inmatning'!$E$44</f>
        <v/>
      </c>
      <c r="H168" s="204">
        <f>SWITCH(E168,"Månadsvis",DATE(YEAR(B168),MONTH(B168),MIN(F168,DAY(EOMONTH(B168,0)))),"Kvartalsvis",DATE(YEAR(B168),CEILING(MONTH(B168),3),MIN(F168,DAY(EOMONTH(DATE(YEAR(B168),CEILING(MONTH(B168),3),1),0)))),"Halvårsvis",DATE(YEAR(B168),IF(MONTH(B168)&lt;=6,6,12),MIN(F168,DAY(EOMONTH(DATE(YEAR(B168),IF(MONTH(B168)&lt;=6,6,12),1),0)))),"Årsvis",DATE(YEAR(B168),G168,MIN(F168,DAY(EOMONTH(DATE(YEAR(B168),G168,1),0)))))</f>
        <v/>
      </c>
      <c r="I168" s="204">
        <f>DATE(YEAR(H168),MONTH(H168),1)</f>
        <v/>
      </c>
    </row>
    <row r="169">
      <c r="A169" s="203" t="inlineStr">
        <is>
          <t>Kontorshyra</t>
        </is>
      </c>
      <c r="B169" s="204" t="n">
        <v>46204</v>
      </c>
      <c r="C169" s="205">
        <f>'Budget maj-dec 2026'!D82</f>
        <v/>
      </c>
      <c r="D169" s="205">
        <f>IF('Kassaflöde inmatning'!$F$44="Ja",C169*'Kassaflöde inmatning'!$B$6,0)</f>
        <v/>
      </c>
      <c r="E169" s="203">
        <f>'Kassaflöde inmatning'!$C$44</f>
        <v/>
      </c>
      <c r="F169" s="203">
        <f>'Kassaflöde inmatning'!$D$44</f>
        <v/>
      </c>
      <c r="G169" s="204">
        <f>'Kassaflöde inmatning'!$E$44</f>
        <v/>
      </c>
      <c r="H169" s="204">
        <f>SWITCH(E169,"Månadsvis",DATE(YEAR(B169),MONTH(B169),MIN(F169,DAY(EOMONTH(B169,0)))),"Kvartalsvis",DATE(YEAR(B169),CEILING(MONTH(B169),3),MIN(F169,DAY(EOMONTH(DATE(YEAR(B169),CEILING(MONTH(B169),3),1),0)))),"Halvårsvis",DATE(YEAR(B169),IF(MONTH(B169)&lt;=6,6,12),MIN(F169,DAY(EOMONTH(DATE(YEAR(B169),IF(MONTH(B169)&lt;=6,6,12),1),0)))),"Årsvis",DATE(YEAR(B169),G169,MIN(F169,DAY(EOMONTH(DATE(YEAR(B169),G169,1),0)))))</f>
        <v/>
      </c>
      <c r="I169" s="204">
        <f>DATE(YEAR(H169),MONTH(H169),1)</f>
        <v/>
      </c>
    </row>
    <row r="170">
      <c r="A170" s="203" t="inlineStr">
        <is>
          <t>Kontorshyra</t>
        </is>
      </c>
      <c r="B170" s="204" t="n">
        <v>46235</v>
      </c>
      <c r="C170" s="205">
        <f>'Budget maj-dec 2026'!E82</f>
        <v/>
      </c>
      <c r="D170" s="205">
        <f>IF('Kassaflöde inmatning'!$F$44="Ja",C170*'Kassaflöde inmatning'!$B$6,0)</f>
        <v/>
      </c>
      <c r="E170" s="203">
        <f>'Kassaflöde inmatning'!$C$44</f>
        <v/>
      </c>
      <c r="F170" s="203">
        <f>'Kassaflöde inmatning'!$D$44</f>
        <v/>
      </c>
      <c r="G170" s="204">
        <f>'Kassaflöde inmatning'!$E$44</f>
        <v/>
      </c>
      <c r="H170" s="204">
        <f>SWITCH(E170,"Månadsvis",DATE(YEAR(B170),MONTH(B170),MIN(F170,DAY(EOMONTH(B170,0)))),"Kvartalsvis",DATE(YEAR(B170),CEILING(MONTH(B170),3),MIN(F170,DAY(EOMONTH(DATE(YEAR(B170),CEILING(MONTH(B170),3),1),0)))),"Halvårsvis",DATE(YEAR(B170),IF(MONTH(B170)&lt;=6,6,12),MIN(F170,DAY(EOMONTH(DATE(YEAR(B170),IF(MONTH(B170)&lt;=6,6,12),1),0)))),"Årsvis",DATE(YEAR(B170),G170,MIN(F170,DAY(EOMONTH(DATE(YEAR(B170),G170,1),0)))))</f>
        <v/>
      </c>
      <c r="I170" s="204">
        <f>DATE(YEAR(H170),MONTH(H170),1)</f>
        <v/>
      </c>
    </row>
    <row r="171">
      <c r="A171" s="203" t="inlineStr">
        <is>
          <t>Kontorshyra</t>
        </is>
      </c>
      <c r="B171" s="204" t="n">
        <v>46266</v>
      </c>
      <c r="C171" s="205">
        <f>'Budget maj-dec 2026'!F82</f>
        <v/>
      </c>
      <c r="D171" s="205">
        <f>IF('Kassaflöde inmatning'!$F$44="Ja",C171*'Kassaflöde inmatning'!$B$6,0)</f>
        <v/>
      </c>
      <c r="E171" s="203">
        <f>'Kassaflöde inmatning'!$C$44</f>
        <v/>
      </c>
      <c r="F171" s="203">
        <f>'Kassaflöde inmatning'!$D$44</f>
        <v/>
      </c>
      <c r="G171" s="204">
        <f>'Kassaflöde inmatning'!$E$44</f>
        <v/>
      </c>
      <c r="H171" s="204">
        <f>SWITCH(E171,"Månadsvis",DATE(YEAR(B171),MONTH(B171),MIN(F171,DAY(EOMONTH(B171,0)))),"Kvartalsvis",DATE(YEAR(B171),CEILING(MONTH(B171),3),MIN(F171,DAY(EOMONTH(DATE(YEAR(B171),CEILING(MONTH(B171),3),1),0)))),"Halvårsvis",DATE(YEAR(B171),IF(MONTH(B171)&lt;=6,6,12),MIN(F171,DAY(EOMONTH(DATE(YEAR(B171),IF(MONTH(B171)&lt;=6,6,12),1),0)))),"Årsvis",DATE(YEAR(B171),G171,MIN(F171,DAY(EOMONTH(DATE(YEAR(B171),G171,1),0)))))</f>
        <v/>
      </c>
      <c r="I171" s="204">
        <f>DATE(YEAR(H171),MONTH(H171),1)</f>
        <v/>
      </c>
    </row>
    <row r="172">
      <c r="A172" s="203" t="inlineStr">
        <is>
          <t>Kontorshyra</t>
        </is>
      </c>
      <c r="B172" s="204" t="n">
        <v>46296</v>
      </c>
      <c r="C172" s="205">
        <f>'Budget maj-dec 2026'!G82</f>
        <v/>
      </c>
      <c r="D172" s="205">
        <f>IF('Kassaflöde inmatning'!$F$44="Ja",C172*'Kassaflöde inmatning'!$B$6,0)</f>
        <v/>
      </c>
      <c r="E172" s="203">
        <f>'Kassaflöde inmatning'!$C$44</f>
        <v/>
      </c>
      <c r="F172" s="203">
        <f>'Kassaflöde inmatning'!$D$44</f>
        <v/>
      </c>
      <c r="G172" s="204">
        <f>'Kassaflöde inmatning'!$E$44</f>
        <v/>
      </c>
      <c r="H172" s="204">
        <f>SWITCH(E172,"Månadsvis",DATE(YEAR(B172),MONTH(B172),MIN(F172,DAY(EOMONTH(B172,0)))),"Kvartalsvis",DATE(YEAR(B172),CEILING(MONTH(B172),3),MIN(F172,DAY(EOMONTH(DATE(YEAR(B172),CEILING(MONTH(B172),3),1),0)))),"Halvårsvis",DATE(YEAR(B172),IF(MONTH(B172)&lt;=6,6,12),MIN(F172,DAY(EOMONTH(DATE(YEAR(B172),IF(MONTH(B172)&lt;=6,6,12),1),0)))),"Årsvis",DATE(YEAR(B172),G172,MIN(F172,DAY(EOMONTH(DATE(YEAR(B172),G172,1),0)))))</f>
        <v/>
      </c>
      <c r="I172" s="204">
        <f>DATE(YEAR(H172),MONTH(H172),1)</f>
        <v/>
      </c>
    </row>
    <row r="173">
      <c r="A173" s="203" t="inlineStr">
        <is>
          <t>Kontorshyra</t>
        </is>
      </c>
      <c r="B173" s="204" t="n">
        <v>46327</v>
      </c>
      <c r="C173" s="205">
        <f>'Budget maj-dec 2026'!H82</f>
        <v/>
      </c>
      <c r="D173" s="205">
        <f>IF('Kassaflöde inmatning'!$F$44="Ja",C173*'Kassaflöde inmatning'!$B$6,0)</f>
        <v/>
      </c>
      <c r="E173" s="203">
        <f>'Kassaflöde inmatning'!$C$44</f>
        <v/>
      </c>
      <c r="F173" s="203">
        <f>'Kassaflöde inmatning'!$D$44</f>
        <v/>
      </c>
      <c r="G173" s="204">
        <f>'Kassaflöde inmatning'!$E$44</f>
        <v/>
      </c>
      <c r="H173" s="204">
        <f>SWITCH(E173,"Månadsvis",DATE(YEAR(B173),MONTH(B173),MIN(F173,DAY(EOMONTH(B173,0)))),"Kvartalsvis",DATE(YEAR(B173),CEILING(MONTH(B173),3),MIN(F173,DAY(EOMONTH(DATE(YEAR(B173),CEILING(MONTH(B173),3),1),0)))),"Halvårsvis",DATE(YEAR(B173),IF(MONTH(B173)&lt;=6,6,12),MIN(F173,DAY(EOMONTH(DATE(YEAR(B173),IF(MONTH(B173)&lt;=6,6,12),1),0)))),"Årsvis",DATE(YEAR(B173),G173,MIN(F173,DAY(EOMONTH(DATE(YEAR(B173),G173,1),0)))))</f>
        <v/>
      </c>
      <c r="I173" s="204">
        <f>DATE(YEAR(H173),MONTH(H173),1)</f>
        <v/>
      </c>
    </row>
    <row r="174">
      <c r="A174" s="203" t="inlineStr">
        <is>
          <t>Kontorshyra</t>
        </is>
      </c>
      <c r="B174" s="204" t="n">
        <v>46357</v>
      </c>
      <c r="C174" s="205">
        <f>'Budget maj-dec 2026'!I82</f>
        <v/>
      </c>
      <c r="D174" s="205">
        <f>IF('Kassaflöde inmatning'!$F$44="Ja",C174*'Kassaflöde inmatning'!$B$6,0)</f>
        <v/>
      </c>
      <c r="E174" s="203">
        <f>'Kassaflöde inmatning'!$C$44</f>
        <v/>
      </c>
      <c r="F174" s="203">
        <f>'Kassaflöde inmatning'!$D$44</f>
        <v/>
      </c>
      <c r="G174" s="204">
        <f>'Kassaflöde inmatning'!$E$44</f>
        <v/>
      </c>
      <c r="H174" s="204">
        <f>SWITCH(E174,"Månadsvis",DATE(YEAR(B174),MONTH(B174),MIN(F174,DAY(EOMONTH(B174,0)))),"Kvartalsvis",DATE(YEAR(B174),CEILING(MONTH(B174),3),MIN(F174,DAY(EOMONTH(DATE(YEAR(B174),CEILING(MONTH(B174),3),1),0)))),"Halvårsvis",DATE(YEAR(B174),IF(MONTH(B174)&lt;=6,6,12),MIN(F174,DAY(EOMONTH(DATE(YEAR(B174),IF(MONTH(B174)&lt;=6,6,12),1),0)))),"Årsvis",DATE(YEAR(B174),G174,MIN(F174,DAY(EOMONTH(DATE(YEAR(B174),G174,1),0)))))</f>
        <v/>
      </c>
      <c r="I174" s="204">
        <f>DATE(YEAR(H174),MONTH(H174),1)</f>
        <v/>
      </c>
    </row>
    <row r="175">
      <c r="A175" s="203" t="inlineStr">
        <is>
          <t>Förbrukning/kaffe/print/städ</t>
        </is>
      </c>
      <c r="B175" s="204" t="n">
        <v>46143</v>
      </c>
      <c r="C175" s="205">
        <f>'Budget maj-dec 2026'!B83</f>
        <v/>
      </c>
      <c r="D175" s="205">
        <f>IF('Kassaflöde inmatning'!$F$45="Ja",C175*'Kassaflöde inmatning'!$B$6,0)</f>
        <v/>
      </c>
      <c r="E175" s="203">
        <f>'Kassaflöde inmatning'!$C$45</f>
        <v/>
      </c>
      <c r="F175" s="203">
        <f>'Kassaflöde inmatning'!$D$45</f>
        <v/>
      </c>
      <c r="G175" s="204">
        <f>'Kassaflöde inmatning'!$E$45</f>
        <v/>
      </c>
      <c r="H175" s="204">
        <f>SWITCH(E175,"Månadsvis",DATE(YEAR(B175),MONTH(B175),MIN(F175,DAY(EOMONTH(B175,0)))),"Kvartalsvis",DATE(YEAR(B175),CEILING(MONTH(B175),3),MIN(F175,DAY(EOMONTH(DATE(YEAR(B175),CEILING(MONTH(B175),3),1),0)))),"Halvårsvis",DATE(YEAR(B175),IF(MONTH(B175)&lt;=6,6,12),MIN(F175,DAY(EOMONTH(DATE(YEAR(B175),IF(MONTH(B175)&lt;=6,6,12),1),0)))),"Årsvis",DATE(YEAR(B175),G175,MIN(F175,DAY(EOMONTH(DATE(YEAR(B175),G175,1),0)))))</f>
        <v/>
      </c>
      <c r="I175" s="204">
        <f>DATE(YEAR(H175),MONTH(H175),1)</f>
        <v/>
      </c>
    </row>
    <row r="176">
      <c r="A176" s="203" t="inlineStr">
        <is>
          <t>Förbrukning/kaffe/print/städ</t>
        </is>
      </c>
      <c r="B176" s="204" t="n">
        <v>46174</v>
      </c>
      <c r="C176" s="205">
        <f>'Budget maj-dec 2026'!C83</f>
        <v/>
      </c>
      <c r="D176" s="205">
        <f>IF('Kassaflöde inmatning'!$F$45="Ja",C176*'Kassaflöde inmatning'!$B$6,0)</f>
        <v/>
      </c>
      <c r="E176" s="203">
        <f>'Kassaflöde inmatning'!$C$45</f>
        <v/>
      </c>
      <c r="F176" s="203">
        <f>'Kassaflöde inmatning'!$D$45</f>
        <v/>
      </c>
      <c r="G176" s="204">
        <f>'Kassaflöde inmatning'!$E$45</f>
        <v/>
      </c>
      <c r="H176" s="204">
        <f>SWITCH(E176,"Månadsvis",DATE(YEAR(B176),MONTH(B176),MIN(F176,DAY(EOMONTH(B176,0)))),"Kvartalsvis",DATE(YEAR(B176),CEILING(MONTH(B176),3),MIN(F176,DAY(EOMONTH(DATE(YEAR(B176),CEILING(MONTH(B176),3),1),0)))),"Halvårsvis",DATE(YEAR(B176),IF(MONTH(B176)&lt;=6,6,12),MIN(F176,DAY(EOMONTH(DATE(YEAR(B176),IF(MONTH(B176)&lt;=6,6,12),1),0)))),"Årsvis",DATE(YEAR(B176),G176,MIN(F176,DAY(EOMONTH(DATE(YEAR(B176),G176,1),0)))))</f>
        <v/>
      </c>
      <c r="I176" s="204">
        <f>DATE(YEAR(H176),MONTH(H176),1)</f>
        <v/>
      </c>
    </row>
    <row r="177">
      <c r="A177" s="203" t="inlineStr">
        <is>
          <t>Förbrukning/kaffe/print/städ</t>
        </is>
      </c>
      <c r="B177" s="204" t="n">
        <v>46204</v>
      </c>
      <c r="C177" s="205">
        <f>'Budget maj-dec 2026'!D83</f>
        <v/>
      </c>
      <c r="D177" s="205">
        <f>IF('Kassaflöde inmatning'!$F$45="Ja",C177*'Kassaflöde inmatning'!$B$6,0)</f>
        <v/>
      </c>
      <c r="E177" s="203">
        <f>'Kassaflöde inmatning'!$C$45</f>
        <v/>
      </c>
      <c r="F177" s="203">
        <f>'Kassaflöde inmatning'!$D$45</f>
        <v/>
      </c>
      <c r="G177" s="204">
        <f>'Kassaflöde inmatning'!$E$45</f>
        <v/>
      </c>
      <c r="H177" s="204">
        <f>SWITCH(E177,"Månadsvis",DATE(YEAR(B177),MONTH(B177),MIN(F177,DAY(EOMONTH(B177,0)))),"Kvartalsvis",DATE(YEAR(B177),CEILING(MONTH(B177),3),MIN(F177,DAY(EOMONTH(DATE(YEAR(B177),CEILING(MONTH(B177),3),1),0)))),"Halvårsvis",DATE(YEAR(B177),IF(MONTH(B177)&lt;=6,6,12),MIN(F177,DAY(EOMONTH(DATE(YEAR(B177),IF(MONTH(B177)&lt;=6,6,12),1),0)))),"Årsvis",DATE(YEAR(B177),G177,MIN(F177,DAY(EOMONTH(DATE(YEAR(B177),G177,1),0)))))</f>
        <v/>
      </c>
      <c r="I177" s="204">
        <f>DATE(YEAR(H177),MONTH(H177),1)</f>
        <v/>
      </c>
    </row>
    <row r="178">
      <c r="A178" s="203" t="inlineStr">
        <is>
          <t>Förbrukning/kaffe/print/städ</t>
        </is>
      </c>
      <c r="B178" s="204" t="n">
        <v>46235</v>
      </c>
      <c r="C178" s="205">
        <f>'Budget maj-dec 2026'!E83</f>
        <v/>
      </c>
      <c r="D178" s="205">
        <f>IF('Kassaflöde inmatning'!$F$45="Ja",C178*'Kassaflöde inmatning'!$B$6,0)</f>
        <v/>
      </c>
      <c r="E178" s="203">
        <f>'Kassaflöde inmatning'!$C$45</f>
        <v/>
      </c>
      <c r="F178" s="203">
        <f>'Kassaflöde inmatning'!$D$45</f>
        <v/>
      </c>
      <c r="G178" s="204">
        <f>'Kassaflöde inmatning'!$E$45</f>
        <v/>
      </c>
      <c r="H178" s="204">
        <f>SWITCH(E178,"Månadsvis",DATE(YEAR(B178),MONTH(B178),MIN(F178,DAY(EOMONTH(B178,0)))),"Kvartalsvis",DATE(YEAR(B178),CEILING(MONTH(B178),3),MIN(F178,DAY(EOMONTH(DATE(YEAR(B178),CEILING(MONTH(B178),3),1),0)))),"Halvårsvis",DATE(YEAR(B178),IF(MONTH(B178)&lt;=6,6,12),MIN(F178,DAY(EOMONTH(DATE(YEAR(B178),IF(MONTH(B178)&lt;=6,6,12),1),0)))),"Årsvis",DATE(YEAR(B178),G178,MIN(F178,DAY(EOMONTH(DATE(YEAR(B178),G178,1),0)))))</f>
        <v/>
      </c>
      <c r="I178" s="204">
        <f>DATE(YEAR(H178),MONTH(H178),1)</f>
        <v/>
      </c>
    </row>
    <row r="179">
      <c r="A179" s="203" t="inlineStr">
        <is>
          <t>Förbrukning/kaffe/print/städ</t>
        </is>
      </c>
      <c r="B179" s="204" t="n">
        <v>46266</v>
      </c>
      <c r="C179" s="205">
        <f>'Budget maj-dec 2026'!F83</f>
        <v/>
      </c>
      <c r="D179" s="205">
        <f>IF('Kassaflöde inmatning'!$F$45="Ja",C179*'Kassaflöde inmatning'!$B$6,0)</f>
        <v/>
      </c>
      <c r="E179" s="203">
        <f>'Kassaflöde inmatning'!$C$45</f>
        <v/>
      </c>
      <c r="F179" s="203">
        <f>'Kassaflöde inmatning'!$D$45</f>
        <v/>
      </c>
      <c r="G179" s="204">
        <f>'Kassaflöde inmatning'!$E$45</f>
        <v/>
      </c>
      <c r="H179" s="204">
        <f>SWITCH(E179,"Månadsvis",DATE(YEAR(B179),MONTH(B179),MIN(F179,DAY(EOMONTH(B179,0)))),"Kvartalsvis",DATE(YEAR(B179),CEILING(MONTH(B179),3),MIN(F179,DAY(EOMONTH(DATE(YEAR(B179),CEILING(MONTH(B179),3),1),0)))),"Halvårsvis",DATE(YEAR(B179),IF(MONTH(B179)&lt;=6,6,12),MIN(F179,DAY(EOMONTH(DATE(YEAR(B179),IF(MONTH(B179)&lt;=6,6,12),1),0)))),"Årsvis",DATE(YEAR(B179),G179,MIN(F179,DAY(EOMONTH(DATE(YEAR(B179),G179,1),0)))))</f>
        <v/>
      </c>
      <c r="I179" s="204">
        <f>DATE(YEAR(H179),MONTH(H179),1)</f>
        <v/>
      </c>
    </row>
    <row r="180">
      <c r="A180" s="203" t="inlineStr">
        <is>
          <t>Förbrukning/kaffe/print/städ</t>
        </is>
      </c>
      <c r="B180" s="204" t="n">
        <v>46296</v>
      </c>
      <c r="C180" s="205">
        <f>'Budget maj-dec 2026'!G83</f>
        <v/>
      </c>
      <c r="D180" s="205">
        <f>IF('Kassaflöde inmatning'!$F$45="Ja",C180*'Kassaflöde inmatning'!$B$6,0)</f>
        <v/>
      </c>
      <c r="E180" s="203">
        <f>'Kassaflöde inmatning'!$C$45</f>
        <v/>
      </c>
      <c r="F180" s="203">
        <f>'Kassaflöde inmatning'!$D$45</f>
        <v/>
      </c>
      <c r="G180" s="204">
        <f>'Kassaflöde inmatning'!$E$45</f>
        <v/>
      </c>
      <c r="H180" s="204">
        <f>SWITCH(E180,"Månadsvis",DATE(YEAR(B180),MONTH(B180),MIN(F180,DAY(EOMONTH(B180,0)))),"Kvartalsvis",DATE(YEAR(B180),CEILING(MONTH(B180),3),MIN(F180,DAY(EOMONTH(DATE(YEAR(B180),CEILING(MONTH(B180),3),1),0)))),"Halvårsvis",DATE(YEAR(B180),IF(MONTH(B180)&lt;=6,6,12),MIN(F180,DAY(EOMONTH(DATE(YEAR(B180),IF(MONTH(B180)&lt;=6,6,12),1),0)))),"Årsvis",DATE(YEAR(B180),G180,MIN(F180,DAY(EOMONTH(DATE(YEAR(B180),G180,1),0)))))</f>
        <v/>
      </c>
      <c r="I180" s="204">
        <f>DATE(YEAR(H180),MONTH(H180),1)</f>
        <v/>
      </c>
    </row>
    <row r="181">
      <c r="A181" s="203" t="inlineStr">
        <is>
          <t>Förbrukning/kaffe/print/städ</t>
        </is>
      </c>
      <c r="B181" s="204" t="n">
        <v>46327</v>
      </c>
      <c r="C181" s="205">
        <f>'Budget maj-dec 2026'!H83</f>
        <v/>
      </c>
      <c r="D181" s="205">
        <f>IF('Kassaflöde inmatning'!$F$45="Ja",C181*'Kassaflöde inmatning'!$B$6,0)</f>
        <v/>
      </c>
      <c r="E181" s="203">
        <f>'Kassaflöde inmatning'!$C$45</f>
        <v/>
      </c>
      <c r="F181" s="203">
        <f>'Kassaflöde inmatning'!$D$45</f>
        <v/>
      </c>
      <c r="G181" s="204">
        <f>'Kassaflöde inmatning'!$E$45</f>
        <v/>
      </c>
      <c r="H181" s="204">
        <f>SWITCH(E181,"Månadsvis",DATE(YEAR(B181),MONTH(B181),MIN(F181,DAY(EOMONTH(B181,0)))),"Kvartalsvis",DATE(YEAR(B181),CEILING(MONTH(B181),3),MIN(F181,DAY(EOMONTH(DATE(YEAR(B181),CEILING(MONTH(B181),3),1),0)))),"Halvårsvis",DATE(YEAR(B181),IF(MONTH(B181)&lt;=6,6,12),MIN(F181,DAY(EOMONTH(DATE(YEAR(B181),IF(MONTH(B181)&lt;=6,6,12),1),0)))),"Årsvis",DATE(YEAR(B181),G181,MIN(F181,DAY(EOMONTH(DATE(YEAR(B181),G181,1),0)))))</f>
        <v/>
      </c>
      <c r="I181" s="204">
        <f>DATE(YEAR(H181),MONTH(H181),1)</f>
        <v/>
      </c>
    </row>
    <row r="182">
      <c r="A182" s="203" t="inlineStr">
        <is>
          <t>Förbrukning/kaffe/print/städ</t>
        </is>
      </c>
      <c r="B182" s="204" t="n">
        <v>46357</v>
      </c>
      <c r="C182" s="205">
        <f>'Budget maj-dec 2026'!I83</f>
        <v/>
      </c>
      <c r="D182" s="205">
        <f>IF('Kassaflöde inmatning'!$F$45="Ja",C182*'Kassaflöde inmatning'!$B$6,0)</f>
        <v/>
      </c>
      <c r="E182" s="203">
        <f>'Kassaflöde inmatning'!$C$45</f>
        <v/>
      </c>
      <c r="F182" s="203">
        <f>'Kassaflöde inmatning'!$D$45</f>
        <v/>
      </c>
      <c r="G182" s="204">
        <f>'Kassaflöde inmatning'!$E$45</f>
        <v/>
      </c>
      <c r="H182" s="204">
        <f>SWITCH(E182,"Månadsvis",DATE(YEAR(B182),MONTH(B182),MIN(F182,DAY(EOMONTH(B182,0)))),"Kvartalsvis",DATE(YEAR(B182),CEILING(MONTH(B182),3),MIN(F182,DAY(EOMONTH(DATE(YEAR(B182),CEILING(MONTH(B182),3),1),0)))),"Halvårsvis",DATE(YEAR(B182),IF(MONTH(B182)&lt;=6,6,12),MIN(F182,DAY(EOMONTH(DATE(YEAR(B182),IF(MONTH(B182)&lt;=6,6,12),1),0)))),"Årsvis",DATE(YEAR(B182),G182,MIN(F182,DAY(EOMONTH(DATE(YEAR(B182),G182,1),0)))))</f>
        <v/>
      </c>
      <c r="I182" s="204">
        <f>DATE(YEAR(H182),MONTH(H182),1)</f>
        <v/>
      </c>
    </row>
    <row r="183">
      <c r="A183" s="203" t="inlineStr">
        <is>
          <t>Engångsinvestering hårdvara</t>
        </is>
      </c>
      <c r="B183" s="204" t="n">
        <v>46143</v>
      </c>
      <c r="C183" s="205">
        <f>'Budget maj-dec 2026'!B88</f>
        <v/>
      </c>
      <c r="D183" s="205">
        <f>IF('Kassaflöde inmatning'!$F$46="Ja",C183*'Kassaflöde inmatning'!$B$6,0)</f>
        <v/>
      </c>
      <c r="E183" s="203">
        <f>'Kassaflöde inmatning'!$C$46</f>
        <v/>
      </c>
      <c r="F183" s="203">
        <f>'Kassaflöde inmatning'!$D$46</f>
        <v/>
      </c>
      <c r="G183" s="204">
        <f>'Kassaflöde inmatning'!$E$46</f>
        <v/>
      </c>
      <c r="H183" s="204">
        <f>SWITCH(E183,"Månadsvis",DATE(YEAR(B183),MONTH(B183),MIN(F183,DAY(EOMONTH(B183,0)))),"Kvartalsvis",DATE(YEAR(B183),CEILING(MONTH(B183),3),MIN(F183,DAY(EOMONTH(DATE(YEAR(B183),CEILING(MONTH(B183),3),1),0)))),"Halvårsvis",DATE(YEAR(B183),IF(MONTH(B183)&lt;=6,6,12),MIN(F183,DAY(EOMONTH(DATE(YEAR(B183),IF(MONTH(B183)&lt;=6,6,12),1),0)))),"Årsvis",DATE(YEAR(B183),G183,MIN(F183,DAY(EOMONTH(DATE(YEAR(B183),G183,1),0)))))</f>
        <v/>
      </c>
      <c r="I183" s="204">
        <f>DATE(YEAR(H183),MONTH(H183),1)</f>
        <v/>
      </c>
    </row>
    <row r="184">
      <c r="A184" s="203" t="inlineStr">
        <is>
          <t>Engångsinvestering hårdvara</t>
        </is>
      </c>
      <c r="B184" s="204" t="n">
        <v>46174</v>
      </c>
      <c r="C184" s="205">
        <f>'Budget maj-dec 2026'!C88</f>
        <v/>
      </c>
      <c r="D184" s="205">
        <f>IF('Kassaflöde inmatning'!$F$46="Ja",C184*'Kassaflöde inmatning'!$B$6,0)</f>
        <v/>
      </c>
      <c r="E184" s="203">
        <f>'Kassaflöde inmatning'!$C$46</f>
        <v/>
      </c>
      <c r="F184" s="203">
        <f>'Kassaflöde inmatning'!$D$46</f>
        <v/>
      </c>
      <c r="G184" s="204">
        <f>'Kassaflöde inmatning'!$E$46</f>
        <v/>
      </c>
      <c r="H184" s="204">
        <f>SWITCH(E184,"Månadsvis",DATE(YEAR(B184),MONTH(B184),MIN(F184,DAY(EOMONTH(B184,0)))),"Kvartalsvis",DATE(YEAR(B184),CEILING(MONTH(B184),3),MIN(F184,DAY(EOMONTH(DATE(YEAR(B184),CEILING(MONTH(B184),3),1),0)))),"Halvårsvis",DATE(YEAR(B184),IF(MONTH(B184)&lt;=6,6,12),MIN(F184,DAY(EOMONTH(DATE(YEAR(B184),IF(MONTH(B184)&lt;=6,6,12),1),0)))),"Årsvis",DATE(YEAR(B184),G184,MIN(F184,DAY(EOMONTH(DATE(YEAR(B184),G184,1),0)))))</f>
        <v/>
      </c>
      <c r="I184" s="204">
        <f>DATE(YEAR(H184),MONTH(H184),1)</f>
        <v/>
      </c>
    </row>
    <row r="185">
      <c r="A185" s="203" t="inlineStr">
        <is>
          <t>Engångsinvestering hårdvara</t>
        </is>
      </c>
      <c r="B185" s="204" t="n">
        <v>46204</v>
      </c>
      <c r="C185" s="205">
        <f>'Budget maj-dec 2026'!D88</f>
        <v/>
      </c>
      <c r="D185" s="205">
        <f>IF('Kassaflöde inmatning'!$F$46="Ja",C185*'Kassaflöde inmatning'!$B$6,0)</f>
        <v/>
      </c>
      <c r="E185" s="203">
        <f>'Kassaflöde inmatning'!$C$46</f>
        <v/>
      </c>
      <c r="F185" s="203">
        <f>'Kassaflöde inmatning'!$D$46</f>
        <v/>
      </c>
      <c r="G185" s="204">
        <f>'Kassaflöde inmatning'!$E$46</f>
        <v/>
      </c>
      <c r="H185" s="204">
        <f>SWITCH(E185,"Månadsvis",DATE(YEAR(B185),MONTH(B185),MIN(F185,DAY(EOMONTH(B185,0)))),"Kvartalsvis",DATE(YEAR(B185),CEILING(MONTH(B185),3),MIN(F185,DAY(EOMONTH(DATE(YEAR(B185),CEILING(MONTH(B185),3),1),0)))),"Halvårsvis",DATE(YEAR(B185),IF(MONTH(B185)&lt;=6,6,12),MIN(F185,DAY(EOMONTH(DATE(YEAR(B185),IF(MONTH(B185)&lt;=6,6,12),1),0)))),"Årsvis",DATE(YEAR(B185),G185,MIN(F185,DAY(EOMONTH(DATE(YEAR(B185),G185,1),0)))))</f>
        <v/>
      </c>
      <c r="I185" s="204">
        <f>DATE(YEAR(H185),MONTH(H185),1)</f>
        <v/>
      </c>
    </row>
    <row r="186">
      <c r="A186" s="203" t="inlineStr">
        <is>
          <t>Engångsinvestering hårdvara</t>
        </is>
      </c>
      <c r="B186" s="204" t="n">
        <v>46235</v>
      </c>
      <c r="C186" s="205">
        <f>'Budget maj-dec 2026'!E88</f>
        <v/>
      </c>
      <c r="D186" s="205">
        <f>IF('Kassaflöde inmatning'!$F$46="Ja",C186*'Kassaflöde inmatning'!$B$6,0)</f>
        <v/>
      </c>
      <c r="E186" s="203">
        <f>'Kassaflöde inmatning'!$C$46</f>
        <v/>
      </c>
      <c r="F186" s="203">
        <f>'Kassaflöde inmatning'!$D$46</f>
        <v/>
      </c>
      <c r="G186" s="204">
        <f>'Kassaflöde inmatning'!$E$46</f>
        <v/>
      </c>
      <c r="H186" s="204">
        <f>SWITCH(E186,"Månadsvis",DATE(YEAR(B186),MONTH(B186),MIN(F186,DAY(EOMONTH(B186,0)))),"Kvartalsvis",DATE(YEAR(B186),CEILING(MONTH(B186),3),MIN(F186,DAY(EOMONTH(DATE(YEAR(B186),CEILING(MONTH(B186),3),1),0)))),"Halvårsvis",DATE(YEAR(B186),IF(MONTH(B186)&lt;=6,6,12),MIN(F186,DAY(EOMONTH(DATE(YEAR(B186),IF(MONTH(B186)&lt;=6,6,12),1),0)))),"Årsvis",DATE(YEAR(B186),G186,MIN(F186,DAY(EOMONTH(DATE(YEAR(B186),G186,1),0)))))</f>
        <v/>
      </c>
      <c r="I186" s="204">
        <f>DATE(YEAR(H186),MONTH(H186),1)</f>
        <v/>
      </c>
    </row>
    <row r="187">
      <c r="A187" s="203" t="inlineStr">
        <is>
          <t>Engångsinvestering hårdvara</t>
        </is>
      </c>
      <c r="B187" s="204" t="n">
        <v>46266</v>
      </c>
      <c r="C187" s="205">
        <f>'Budget maj-dec 2026'!F88</f>
        <v/>
      </c>
      <c r="D187" s="205">
        <f>IF('Kassaflöde inmatning'!$F$46="Ja",C187*'Kassaflöde inmatning'!$B$6,0)</f>
        <v/>
      </c>
      <c r="E187" s="203">
        <f>'Kassaflöde inmatning'!$C$46</f>
        <v/>
      </c>
      <c r="F187" s="203">
        <f>'Kassaflöde inmatning'!$D$46</f>
        <v/>
      </c>
      <c r="G187" s="204">
        <f>'Kassaflöde inmatning'!$E$46</f>
        <v/>
      </c>
      <c r="H187" s="204">
        <f>SWITCH(E187,"Månadsvis",DATE(YEAR(B187),MONTH(B187),MIN(F187,DAY(EOMONTH(B187,0)))),"Kvartalsvis",DATE(YEAR(B187),CEILING(MONTH(B187),3),MIN(F187,DAY(EOMONTH(DATE(YEAR(B187),CEILING(MONTH(B187),3),1),0)))),"Halvårsvis",DATE(YEAR(B187),IF(MONTH(B187)&lt;=6,6,12),MIN(F187,DAY(EOMONTH(DATE(YEAR(B187),IF(MONTH(B187)&lt;=6,6,12),1),0)))),"Årsvis",DATE(YEAR(B187),G187,MIN(F187,DAY(EOMONTH(DATE(YEAR(B187),G187,1),0)))))</f>
        <v/>
      </c>
      <c r="I187" s="204">
        <f>DATE(YEAR(H187),MONTH(H187),1)</f>
        <v/>
      </c>
    </row>
    <row r="188">
      <c r="A188" s="203" t="inlineStr">
        <is>
          <t>Engångsinvestering hårdvara</t>
        </is>
      </c>
      <c r="B188" s="204" t="n">
        <v>46296</v>
      </c>
      <c r="C188" s="205">
        <f>'Budget maj-dec 2026'!G88</f>
        <v/>
      </c>
      <c r="D188" s="205">
        <f>IF('Kassaflöde inmatning'!$F$46="Ja",C188*'Kassaflöde inmatning'!$B$6,0)</f>
        <v/>
      </c>
      <c r="E188" s="203">
        <f>'Kassaflöde inmatning'!$C$46</f>
        <v/>
      </c>
      <c r="F188" s="203">
        <f>'Kassaflöde inmatning'!$D$46</f>
        <v/>
      </c>
      <c r="G188" s="204">
        <f>'Kassaflöde inmatning'!$E$46</f>
        <v/>
      </c>
      <c r="H188" s="204">
        <f>SWITCH(E188,"Månadsvis",DATE(YEAR(B188),MONTH(B188),MIN(F188,DAY(EOMONTH(B188,0)))),"Kvartalsvis",DATE(YEAR(B188),CEILING(MONTH(B188),3),MIN(F188,DAY(EOMONTH(DATE(YEAR(B188),CEILING(MONTH(B188),3),1),0)))),"Halvårsvis",DATE(YEAR(B188),IF(MONTH(B188)&lt;=6,6,12),MIN(F188,DAY(EOMONTH(DATE(YEAR(B188),IF(MONTH(B188)&lt;=6,6,12),1),0)))),"Årsvis",DATE(YEAR(B188),G188,MIN(F188,DAY(EOMONTH(DATE(YEAR(B188),G188,1),0)))))</f>
        <v/>
      </c>
      <c r="I188" s="204">
        <f>DATE(YEAR(H188),MONTH(H188),1)</f>
        <v/>
      </c>
    </row>
    <row r="189">
      <c r="A189" s="203" t="inlineStr">
        <is>
          <t>Engångsinvestering hårdvara</t>
        </is>
      </c>
      <c r="B189" s="204" t="n">
        <v>46327</v>
      </c>
      <c r="C189" s="205">
        <f>'Budget maj-dec 2026'!H88</f>
        <v/>
      </c>
      <c r="D189" s="205">
        <f>IF('Kassaflöde inmatning'!$F$46="Ja",C189*'Kassaflöde inmatning'!$B$6,0)</f>
        <v/>
      </c>
      <c r="E189" s="203">
        <f>'Kassaflöde inmatning'!$C$46</f>
        <v/>
      </c>
      <c r="F189" s="203">
        <f>'Kassaflöde inmatning'!$D$46</f>
        <v/>
      </c>
      <c r="G189" s="204">
        <f>'Kassaflöde inmatning'!$E$46</f>
        <v/>
      </c>
      <c r="H189" s="204">
        <f>SWITCH(E189,"Månadsvis",DATE(YEAR(B189),MONTH(B189),MIN(F189,DAY(EOMONTH(B189,0)))),"Kvartalsvis",DATE(YEAR(B189),CEILING(MONTH(B189),3),MIN(F189,DAY(EOMONTH(DATE(YEAR(B189),CEILING(MONTH(B189),3),1),0)))),"Halvårsvis",DATE(YEAR(B189),IF(MONTH(B189)&lt;=6,6,12),MIN(F189,DAY(EOMONTH(DATE(YEAR(B189),IF(MONTH(B189)&lt;=6,6,12),1),0)))),"Årsvis",DATE(YEAR(B189),G189,MIN(F189,DAY(EOMONTH(DATE(YEAR(B189),G189,1),0)))))</f>
        <v/>
      </c>
      <c r="I189" s="204">
        <f>DATE(YEAR(H189),MONTH(H189),1)</f>
        <v/>
      </c>
    </row>
    <row r="190">
      <c r="A190" s="203" t="inlineStr">
        <is>
          <t>Engångsinvestering hårdvara</t>
        </is>
      </c>
      <c r="B190" s="204" t="n">
        <v>46357</v>
      </c>
      <c r="C190" s="205">
        <f>'Budget maj-dec 2026'!I88</f>
        <v/>
      </c>
      <c r="D190" s="205">
        <f>IF('Kassaflöde inmatning'!$F$46="Ja",C190*'Kassaflöde inmatning'!$B$6,0)</f>
        <v/>
      </c>
      <c r="E190" s="203">
        <f>'Kassaflöde inmatning'!$C$46</f>
        <v/>
      </c>
      <c r="F190" s="203">
        <f>'Kassaflöde inmatning'!$D$46</f>
        <v/>
      </c>
      <c r="G190" s="204">
        <f>'Kassaflöde inmatning'!$E$46</f>
        <v/>
      </c>
      <c r="H190" s="204">
        <f>SWITCH(E190,"Månadsvis",DATE(YEAR(B190),MONTH(B190),MIN(F190,DAY(EOMONTH(B190,0)))),"Kvartalsvis",DATE(YEAR(B190),CEILING(MONTH(B190),3),MIN(F190,DAY(EOMONTH(DATE(YEAR(B190),CEILING(MONTH(B190),3),1),0)))),"Halvårsvis",DATE(YEAR(B190),IF(MONTH(B190)&lt;=6,6,12),MIN(F190,DAY(EOMONTH(DATE(YEAR(B190),IF(MONTH(B190)&lt;=6,6,12),1),0)))),"Årsvis",DATE(YEAR(B190),G190,MIN(F190,DAY(EOMONTH(DATE(YEAR(B190),G190,1),0)))))</f>
        <v/>
      </c>
      <c r="I190" s="204">
        <f>DATE(YEAR(H190),MONTH(H190),1)</f>
        <v/>
      </c>
    </row>
    <row r="191">
      <c r="B191" s="199" t="n"/>
      <c r="C191" s="200" t="n"/>
      <c r="D191" s="200" t="n"/>
      <c r="G191" s="199" t="n"/>
      <c r="H191" s="199" t="n"/>
      <c r="I191" s="199" t="n"/>
    </row>
    <row r="192">
      <c r="B192" s="199" t="n"/>
      <c r="C192" s="200" t="n"/>
      <c r="D192" s="200" t="n"/>
      <c r="G192" s="199" t="n"/>
      <c r="H192" s="199" t="n"/>
      <c r="I192" s="199" t="n"/>
    </row>
    <row r="193">
      <c r="A193" s="181" t="inlineStr">
        <is>
          <t>Typ</t>
        </is>
      </c>
      <c r="B193" s="201" t="inlineStr">
        <is>
          <t>Periodmånad</t>
        </is>
      </c>
      <c r="C193" s="202" t="inlineStr">
        <is>
          <t>Belopp</t>
        </is>
      </c>
      <c r="D193" s="202" t="inlineStr">
        <is>
          <t>Betalningsdatum</t>
        </is>
      </c>
      <c r="E193" s="181" t="inlineStr">
        <is>
          <t>Betalningsmånad</t>
        </is>
      </c>
      <c r="G193" s="199" t="n"/>
      <c r="H193" s="199" t="n"/>
      <c r="I193" s="199" t="n"/>
    </row>
    <row r="194">
      <c r="A194" s="203" t="inlineStr">
        <is>
          <t>Lön</t>
        </is>
      </c>
      <c r="B194" s="204" t="n">
        <v>46143</v>
      </c>
      <c r="C194" s="205">
        <f>('Budget maj-dec 2026'!B25+'Budget maj-dec 2026'!B32+'Budget maj-dec 2026'!B39+'Budget maj-dec 2026'!B46+'Budget maj-dec 2026'!B53+'Budget maj-dec 2026'!B60)*'Kassaflöde inmatning'!$B$12</f>
        <v/>
      </c>
      <c r="D194" s="205">
        <f>WORKDAY(DATE(YEAR(B194),MONTH(B194),'Kassaflöde inmatning'!$B$11)+1,-1)</f>
        <v/>
      </c>
      <c r="E194" s="203">
        <f>DATE(YEAR(D194),MONTH(D194),1)</f>
        <v/>
      </c>
      <c r="G194" s="199" t="n"/>
      <c r="H194" s="199" t="n"/>
      <c r="I194" s="199" t="n"/>
    </row>
    <row r="195">
      <c r="A195" s="203" t="inlineStr">
        <is>
          <t>Skatt och AG</t>
        </is>
      </c>
      <c r="B195" s="204" t="n">
        <v>46143</v>
      </c>
      <c r="C195" s="205">
        <f>('Budget maj-dec 2026'!B26+'Budget maj-dec 2026'!B33+'Budget maj-dec 2026'!B40+'Budget maj-dec 2026'!B47+'Budget maj-dec 2026'!B54+'Budget maj-dec 2026'!B61)+(('Budget maj-dec 2026'!B25+'Budget maj-dec 2026'!B32+'Budget maj-dec 2026'!B39+'Budget maj-dec 2026'!B46+'Budget maj-dec 2026'!B53+'Budget maj-dec 2026'!B60)*'Kassaflöde inmatning'!$B$13)</f>
        <v/>
      </c>
      <c r="D195" s="205">
        <f>IF('Kassaflöde inmatning'!$B$8="Månadsvis",DATE(YEAR(EDATE(B195,'Kassaflöde inmatning'!$B$10)),MONTH(EDATE(B195,'Kassaflöde inmatning'!$B$10)),'Kassaflöde inmatning'!$B$9),DATE(YEAR(EDATE(DATE(YEAR(B195),CEILING(MONTH(B195),3),1),'Kassaflöde inmatning'!$B$10)),MONTH(EDATE(DATE(YEAR(B195),CEILING(MONTH(B195),3),1),'Kassaflöde inmatning'!$B$10)),'Kassaflöde inmatning'!$B$9))</f>
        <v/>
      </c>
      <c r="E195" s="203">
        <f>DATE(YEAR(D195),MONTH(D195),1)</f>
        <v/>
      </c>
      <c r="G195" s="199" t="n"/>
      <c r="H195" s="199" t="n"/>
      <c r="I195" s="199" t="n"/>
    </row>
    <row r="196">
      <c r="A196" s="203" t="inlineStr">
        <is>
          <t>Lön</t>
        </is>
      </c>
      <c r="B196" s="204" t="n">
        <v>46174</v>
      </c>
      <c r="C196" s="205">
        <f>('Budget maj-dec 2026'!C25+'Budget maj-dec 2026'!C32+'Budget maj-dec 2026'!C39+'Budget maj-dec 2026'!C46+'Budget maj-dec 2026'!C53+'Budget maj-dec 2026'!C60)*'Kassaflöde inmatning'!$B$12</f>
        <v/>
      </c>
      <c r="D196" s="205">
        <f>WORKDAY(DATE(YEAR(B196),MONTH(B196),'Kassaflöde inmatning'!$B$11)+1,-1)</f>
        <v/>
      </c>
      <c r="E196" s="203">
        <f>DATE(YEAR(D196),MONTH(D196),1)</f>
        <v/>
      </c>
      <c r="G196" s="199" t="n"/>
      <c r="H196" s="199" t="n"/>
      <c r="I196" s="199" t="n"/>
    </row>
    <row r="197">
      <c r="A197" s="203" t="inlineStr">
        <is>
          <t>Skatt och AG</t>
        </is>
      </c>
      <c r="B197" s="204" t="n">
        <v>46174</v>
      </c>
      <c r="C197" s="205">
        <f>('Budget maj-dec 2026'!C26+'Budget maj-dec 2026'!C33+'Budget maj-dec 2026'!C40+'Budget maj-dec 2026'!C47+'Budget maj-dec 2026'!C54+'Budget maj-dec 2026'!C61)+(('Budget maj-dec 2026'!C25+'Budget maj-dec 2026'!C32+'Budget maj-dec 2026'!C39+'Budget maj-dec 2026'!C46+'Budget maj-dec 2026'!C53+'Budget maj-dec 2026'!C60)*'Kassaflöde inmatning'!$B$13)</f>
        <v/>
      </c>
      <c r="D197" s="205">
        <f>IF('Kassaflöde inmatning'!$B$8="Månadsvis",DATE(YEAR(EDATE(B197,'Kassaflöde inmatning'!$B$10)),MONTH(EDATE(B197,'Kassaflöde inmatning'!$B$10)),'Kassaflöde inmatning'!$B$9),DATE(YEAR(EDATE(DATE(YEAR(B197),CEILING(MONTH(B197),3),1),'Kassaflöde inmatning'!$B$10)),MONTH(EDATE(DATE(YEAR(B197),CEILING(MONTH(B197),3),1),'Kassaflöde inmatning'!$B$10)),'Kassaflöde inmatning'!$B$9))</f>
        <v/>
      </c>
      <c r="E197" s="203">
        <f>DATE(YEAR(D197),MONTH(D197),1)</f>
        <v/>
      </c>
      <c r="G197" s="199" t="n"/>
      <c r="H197" s="199" t="n"/>
      <c r="I197" s="199" t="n"/>
    </row>
    <row r="198">
      <c r="A198" s="203" t="inlineStr">
        <is>
          <t>Lön</t>
        </is>
      </c>
      <c r="B198" s="204" t="n">
        <v>46204</v>
      </c>
      <c r="C198" s="205">
        <f>('Budget maj-dec 2026'!D25+'Budget maj-dec 2026'!D32+'Budget maj-dec 2026'!D39+'Budget maj-dec 2026'!D46+'Budget maj-dec 2026'!D53+'Budget maj-dec 2026'!D60)*'Kassaflöde inmatning'!$B$12</f>
        <v/>
      </c>
      <c r="D198" s="205">
        <f>WORKDAY(DATE(YEAR(B198),MONTH(B198),'Kassaflöde inmatning'!$B$11)+1,-1)</f>
        <v/>
      </c>
      <c r="E198" s="203">
        <f>DATE(YEAR(D198),MONTH(D198),1)</f>
        <v/>
      </c>
      <c r="G198" s="199" t="n"/>
      <c r="H198" s="199" t="n"/>
      <c r="I198" s="199" t="n"/>
    </row>
    <row r="199">
      <c r="A199" s="203" t="inlineStr">
        <is>
          <t>Skatt och AG</t>
        </is>
      </c>
      <c r="B199" s="204" t="n">
        <v>46204</v>
      </c>
      <c r="C199" s="205">
        <f>('Budget maj-dec 2026'!D26+'Budget maj-dec 2026'!D33+'Budget maj-dec 2026'!D40+'Budget maj-dec 2026'!D47+'Budget maj-dec 2026'!D54+'Budget maj-dec 2026'!D61)+(('Budget maj-dec 2026'!D25+'Budget maj-dec 2026'!D32+'Budget maj-dec 2026'!D39+'Budget maj-dec 2026'!D46+'Budget maj-dec 2026'!D53+'Budget maj-dec 2026'!D60)*'Kassaflöde inmatning'!$B$13)</f>
        <v/>
      </c>
      <c r="D199" s="205">
        <f>IF('Kassaflöde inmatning'!$B$8="Månadsvis",DATE(YEAR(EDATE(B199,'Kassaflöde inmatning'!$B$10)),MONTH(EDATE(B199,'Kassaflöde inmatning'!$B$10)),'Kassaflöde inmatning'!$B$9),DATE(YEAR(EDATE(DATE(YEAR(B199),CEILING(MONTH(B199),3),1),'Kassaflöde inmatning'!$B$10)),MONTH(EDATE(DATE(YEAR(B199),CEILING(MONTH(B199),3),1),'Kassaflöde inmatning'!$B$10)),'Kassaflöde inmatning'!$B$9))</f>
        <v/>
      </c>
      <c r="E199" s="203">
        <f>DATE(YEAR(D199),MONTH(D199),1)</f>
        <v/>
      </c>
      <c r="G199" s="199" t="n"/>
      <c r="H199" s="199" t="n"/>
      <c r="I199" s="199" t="n"/>
    </row>
    <row r="200">
      <c r="A200" s="203" t="inlineStr">
        <is>
          <t>Lön</t>
        </is>
      </c>
      <c r="B200" s="204" t="n">
        <v>46235</v>
      </c>
      <c r="C200" s="205">
        <f>('Budget maj-dec 2026'!E25+'Budget maj-dec 2026'!E32+'Budget maj-dec 2026'!E39+'Budget maj-dec 2026'!E46+'Budget maj-dec 2026'!E53+'Budget maj-dec 2026'!E60)*'Kassaflöde inmatning'!$B$12</f>
        <v/>
      </c>
      <c r="D200" s="205">
        <f>WORKDAY(DATE(YEAR(B200),MONTH(B200),'Kassaflöde inmatning'!$B$11)+1,-1)</f>
        <v/>
      </c>
      <c r="E200" s="203">
        <f>DATE(YEAR(D200),MONTH(D200),1)</f>
        <v/>
      </c>
      <c r="G200" s="199" t="n"/>
      <c r="H200" s="199" t="n"/>
      <c r="I200" s="199" t="n"/>
    </row>
    <row r="201">
      <c r="A201" s="203" t="inlineStr">
        <is>
          <t>Skatt och AG</t>
        </is>
      </c>
      <c r="B201" s="204" t="n">
        <v>46235</v>
      </c>
      <c r="C201" s="205">
        <f>('Budget maj-dec 2026'!E26+'Budget maj-dec 2026'!E33+'Budget maj-dec 2026'!E40+'Budget maj-dec 2026'!E47+'Budget maj-dec 2026'!E54+'Budget maj-dec 2026'!E61)+(('Budget maj-dec 2026'!E25+'Budget maj-dec 2026'!E32+'Budget maj-dec 2026'!E39+'Budget maj-dec 2026'!E46+'Budget maj-dec 2026'!E53+'Budget maj-dec 2026'!E60)*'Kassaflöde inmatning'!$B$13)</f>
        <v/>
      </c>
      <c r="D201" s="205">
        <f>IF('Kassaflöde inmatning'!$B$8="Månadsvis",DATE(YEAR(EDATE(B201,'Kassaflöde inmatning'!$B$10)),MONTH(EDATE(B201,'Kassaflöde inmatning'!$B$10)),'Kassaflöde inmatning'!$B$9),DATE(YEAR(EDATE(DATE(YEAR(B201),CEILING(MONTH(B201),3),1),'Kassaflöde inmatning'!$B$10)),MONTH(EDATE(DATE(YEAR(B201),CEILING(MONTH(B201),3),1),'Kassaflöde inmatning'!$B$10)),'Kassaflöde inmatning'!$B$9))</f>
        <v/>
      </c>
      <c r="E201" s="203">
        <f>DATE(YEAR(D201),MONTH(D201),1)</f>
        <v/>
      </c>
      <c r="G201" s="199" t="n"/>
      <c r="H201" s="199" t="n"/>
      <c r="I201" s="199" t="n"/>
    </row>
    <row r="202">
      <c r="A202" s="203" t="inlineStr">
        <is>
          <t>Lön</t>
        </is>
      </c>
      <c r="B202" s="204" t="n">
        <v>46266</v>
      </c>
      <c r="C202" s="205">
        <f>('Budget maj-dec 2026'!F25+'Budget maj-dec 2026'!F32+'Budget maj-dec 2026'!F39+'Budget maj-dec 2026'!F46+'Budget maj-dec 2026'!F53+'Budget maj-dec 2026'!F60)*'Kassaflöde inmatning'!$B$12</f>
        <v/>
      </c>
      <c r="D202" s="205">
        <f>WORKDAY(DATE(YEAR(B202),MONTH(B202),'Kassaflöde inmatning'!$B$11)+1,-1)</f>
        <v/>
      </c>
      <c r="E202" s="203">
        <f>DATE(YEAR(D202),MONTH(D202),1)</f>
        <v/>
      </c>
      <c r="G202" s="199" t="n"/>
      <c r="H202" s="199" t="n"/>
      <c r="I202" s="199" t="n"/>
    </row>
    <row r="203">
      <c r="A203" s="203" t="inlineStr">
        <is>
          <t>Skatt och AG</t>
        </is>
      </c>
      <c r="B203" s="204" t="n">
        <v>46266</v>
      </c>
      <c r="C203" s="205">
        <f>('Budget maj-dec 2026'!F26+'Budget maj-dec 2026'!F33+'Budget maj-dec 2026'!F40+'Budget maj-dec 2026'!F47+'Budget maj-dec 2026'!F54+'Budget maj-dec 2026'!F61)+(('Budget maj-dec 2026'!F25+'Budget maj-dec 2026'!F32+'Budget maj-dec 2026'!F39+'Budget maj-dec 2026'!F46+'Budget maj-dec 2026'!F53+'Budget maj-dec 2026'!F60)*'Kassaflöde inmatning'!$B$13)</f>
        <v/>
      </c>
      <c r="D203" s="205">
        <f>IF('Kassaflöde inmatning'!$B$8="Månadsvis",DATE(YEAR(EDATE(B203,'Kassaflöde inmatning'!$B$10)),MONTH(EDATE(B203,'Kassaflöde inmatning'!$B$10)),'Kassaflöde inmatning'!$B$9),DATE(YEAR(EDATE(DATE(YEAR(B203),CEILING(MONTH(B203),3),1),'Kassaflöde inmatning'!$B$10)),MONTH(EDATE(DATE(YEAR(B203),CEILING(MONTH(B203),3),1),'Kassaflöde inmatning'!$B$10)),'Kassaflöde inmatning'!$B$9))</f>
        <v/>
      </c>
      <c r="E203" s="203">
        <f>DATE(YEAR(D203),MONTH(D203),1)</f>
        <v/>
      </c>
      <c r="G203" s="199" t="n"/>
      <c r="H203" s="199" t="n"/>
      <c r="I203" s="199" t="n"/>
    </row>
    <row r="204">
      <c r="A204" s="203" t="inlineStr">
        <is>
          <t>Lön</t>
        </is>
      </c>
      <c r="B204" s="204" t="n">
        <v>46296</v>
      </c>
      <c r="C204" s="205">
        <f>('Budget maj-dec 2026'!G25+'Budget maj-dec 2026'!G32+'Budget maj-dec 2026'!G39+'Budget maj-dec 2026'!G46+'Budget maj-dec 2026'!G53+'Budget maj-dec 2026'!G60)*'Kassaflöde inmatning'!$B$12</f>
        <v/>
      </c>
      <c r="D204" s="205">
        <f>WORKDAY(DATE(YEAR(B204),MONTH(B204),'Kassaflöde inmatning'!$B$11)+1,-1)</f>
        <v/>
      </c>
      <c r="E204" s="203">
        <f>DATE(YEAR(D204),MONTH(D204),1)</f>
        <v/>
      </c>
      <c r="G204" s="199" t="n"/>
      <c r="H204" s="199" t="n"/>
      <c r="I204" s="199" t="n"/>
    </row>
    <row r="205">
      <c r="A205" s="203" t="inlineStr">
        <is>
          <t>Skatt och AG</t>
        </is>
      </c>
      <c r="B205" s="204" t="n">
        <v>46296</v>
      </c>
      <c r="C205" s="205">
        <f>('Budget maj-dec 2026'!G26+'Budget maj-dec 2026'!G33+'Budget maj-dec 2026'!G40+'Budget maj-dec 2026'!G47+'Budget maj-dec 2026'!G54+'Budget maj-dec 2026'!G61)+(('Budget maj-dec 2026'!G25+'Budget maj-dec 2026'!G32+'Budget maj-dec 2026'!G39+'Budget maj-dec 2026'!G46+'Budget maj-dec 2026'!G53+'Budget maj-dec 2026'!G60)*'Kassaflöde inmatning'!$B$13)</f>
        <v/>
      </c>
      <c r="D205" s="205">
        <f>IF('Kassaflöde inmatning'!$B$8="Månadsvis",DATE(YEAR(EDATE(B205,'Kassaflöde inmatning'!$B$10)),MONTH(EDATE(B205,'Kassaflöde inmatning'!$B$10)),'Kassaflöde inmatning'!$B$9),DATE(YEAR(EDATE(DATE(YEAR(B205),CEILING(MONTH(B205),3),1),'Kassaflöde inmatning'!$B$10)),MONTH(EDATE(DATE(YEAR(B205),CEILING(MONTH(B205),3),1),'Kassaflöde inmatning'!$B$10)),'Kassaflöde inmatning'!$B$9))</f>
        <v/>
      </c>
      <c r="E205" s="203">
        <f>DATE(YEAR(D205),MONTH(D205),1)</f>
        <v/>
      </c>
      <c r="G205" s="199" t="n"/>
      <c r="H205" s="199" t="n"/>
      <c r="I205" s="199" t="n"/>
    </row>
    <row r="206">
      <c r="A206" s="203" t="inlineStr">
        <is>
          <t>Lön</t>
        </is>
      </c>
      <c r="B206" s="204" t="n">
        <v>46327</v>
      </c>
      <c r="C206" s="205">
        <f>('Budget maj-dec 2026'!H25+'Budget maj-dec 2026'!H32+'Budget maj-dec 2026'!H39+'Budget maj-dec 2026'!H46+'Budget maj-dec 2026'!H53+'Budget maj-dec 2026'!H60)*'Kassaflöde inmatning'!$B$12</f>
        <v/>
      </c>
      <c r="D206" s="205">
        <f>WORKDAY(DATE(YEAR(B206),MONTH(B206),'Kassaflöde inmatning'!$B$11)+1,-1)</f>
        <v/>
      </c>
      <c r="E206" s="203">
        <f>DATE(YEAR(D206),MONTH(D206),1)</f>
        <v/>
      </c>
      <c r="G206" s="199" t="n"/>
      <c r="H206" s="199" t="n"/>
      <c r="I206" s="199" t="n"/>
    </row>
    <row r="207">
      <c r="A207" s="203" t="inlineStr">
        <is>
          <t>Skatt och AG</t>
        </is>
      </c>
      <c r="B207" s="204" t="n">
        <v>46327</v>
      </c>
      <c r="C207" s="205">
        <f>('Budget maj-dec 2026'!H26+'Budget maj-dec 2026'!H33+'Budget maj-dec 2026'!H40+'Budget maj-dec 2026'!H47+'Budget maj-dec 2026'!H54+'Budget maj-dec 2026'!H61)+(('Budget maj-dec 2026'!H25+'Budget maj-dec 2026'!H32+'Budget maj-dec 2026'!H39+'Budget maj-dec 2026'!H46+'Budget maj-dec 2026'!H53+'Budget maj-dec 2026'!H60)*'Kassaflöde inmatning'!$B$13)</f>
        <v/>
      </c>
      <c r="D207" s="205">
        <f>IF('Kassaflöde inmatning'!$B$8="Månadsvis",DATE(YEAR(EDATE(B207,'Kassaflöde inmatning'!$B$10)),MONTH(EDATE(B207,'Kassaflöde inmatning'!$B$10)),'Kassaflöde inmatning'!$B$9),DATE(YEAR(EDATE(DATE(YEAR(B207),CEILING(MONTH(B207),3),1),'Kassaflöde inmatning'!$B$10)),MONTH(EDATE(DATE(YEAR(B207),CEILING(MONTH(B207),3),1),'Kassaflöde inmatning'!$B$10)),'Kassaflöde inmatning'!$B$9))</f>
        <v/>
      </c>
      <c r="E207" s="203">
        <f>DATE(YEAR(D207),MONTH(D207),1)</f>
        <v/>
      </c>
      <c r="G207" s="199" t="n"/>
      <c r="H207" s="199" t="n"/>
      <c r="I207" s="199" t="n"/>
    </row>
    <row r="208">
      <c r="A208" s="203" t="inlineStr">
        <is>
          <t>Lön</t>
        </is>
      </c>
      <c r="B208" s="204" t="n">
        <v>46357</v>
      </c>
      <c r="C208" s="205">
        <f>('Budget maj-dec 2026'!I25+'Budget maj-dec 2026'!I32+'Budget maj-dec 2026'!I39+'Budget maj-dec 2026'!I46+'Budget maj-dec 2026'!I53+'Budget maj-dec 2026'!I60)*'Kassaflöde inmatning'!$B$12</f>
        <v/>
      </c>
      <c r="D208" s="205">
        <f>WORKDAY(DATE(YEAR(B208),MONTH(B208),'Kassaflöde inmatning'!$B$11)+1,-1)</f>
        <v/>
      </c>
      <c r="E208" s="203">
        <f>DATE(YEAR(D208),MONTH(D208),1)</f>
        <v/>
      </c>
      <c r="G208" s="199" t="n"/>
      <c r="H208" s="199" t="n"/>
      <c r="I208" s="199" t="n"/>
    </row>
    <row r="209">
      <c r="A209" s="203" t="inlineStr">
        <is>
          <t>Skatt och AG</t>
        </is>
      </c>
      <c r="B209" s="204" t="n">
        <v>46357</v>
      </c>
      <c r="C209" s="205">
        <f>('Budget maj-dec 2026'!I26+'Budget maj-dec 2026'!I33+'Budget maj-dec 2026'!I40+'Budget maj-dec 2026'!I47+'Budget maj-dec 2026'!I54+'Budget maj-dec 2026'!I61)+(('Budget maj-dec 2026'!I25+'Budget maj-dec 2026'!I32+'Budget maj-dec 2026'!I39+'Budget maj-dec 2026'!I46+'Budget maj-dec 2026'!I53+'Budget maj-dec 2026'!I60)*'Kassaflöde inmatning'!$B$13)</f>
        <v/>
      </c>
      <c r="D209" s="205">
        <f>IF('Kassaflöde inmatning'!$B$8="Månadsvis",DATE(YEAR(EDATE(B209,'Kassaflöde inmatning'!$B$10)),MONTH(EDATE(B209,'Kassaflöde inmatning'!$B$10)),'Kassaflöde inmatning'!$B$9),DATE(YEAR(EDATE(DATE(YEAR(B209),CEILING(MONTH(B209),3),1),'Kassaflöde inmatning'!$B$10)),MONTH(EDATE(DATE(YEAR(B209),CEILING(MONTH(B209),3),1),'Kassaflöde inmatning'!$B$10)),'Kassaflöde inmatning'!$B$9))</f>
        <v/>
      </c>
      <c r="E209" s="203">
        <f>DATE(YEAR(D209),MONTH(D209),1)</f>
        <v/>
      </c>
      <c r="G209" s="199" t="n"/>
      <c r="H209" s="199" t="n"/>
      <c r="I209" s="19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defaultGridColor="1" workbookViewId="0">
      <selection activeCell="A1" sqref="A1"/>
    </sheetView>
  </sheetViews>
  <sheetFormatPr baseColWidth="8" defaultColWidth="14.5" defaultRowHeight="15" customHeight="1" outlineLevelRow="0"/>
  <cols>
    <col width="52" customWidth="1" style="153" min="1" max="1"/>
    <col width="24" customWidth="1" style="153" min="2" max="2"/>
    <col width="8.67188" customWidth="1" style="153" min="3" max="5"/>
    <col width="14.5" customWidth="1" style="153" min="6" max="16384"/>
  </cols>
  <sheetData>
    <row r="1" ht="16" customHeight="1" s="155">
      <c r="A1" s="150" t="inlineStr">
        <is>
          <t>Post</t>
        </is>
      </c>
      <c r="B1" s="147" t="inlineStr">
        <is>
          <t>Belopp (kr)</t>
        </is>
      </c>
      <c r="C1" s="142" t="n"/>
      <c r="D1" s="142" t="n"/>
      <c r="E1" s="142" t="n"/>
    </row>
    <row r="2" ht="16" customHeight="1" s="155">
      <c r="A2" s="177" t="inlineStr">
        <is>
          <t>PERSONAL (per månad)</t>
        </is>
      </c>
      <c r="B2" s="178" t="n"/>
      <c r="C2" s="142" t="n"/>
      <c r="D2" s="142" t="n"/>
      <c r="E2" s="142" t="n"/>
    </row>
    <row r="3" ht="16" customHeight="1" s="155">
      <c r="A3" s="152" t="inlineStr">
        <is>
          <t>Bruttolöner</t>
        </is>
      </c>
      <c r="B3" s="142">
        <f>SUM('Inmatning'!B42:B47)</f>
        <v/>
      </c>
      <c r="C3" s="142" t="n"/>
      <c r="D3" s="142" t="n"/>
      <c r="E3" s="142" t="n"/>
    </row>
    <row r="4" ht="16" customHeight="1" s="155">
      <c r="A4" s="130" t="inlineStr">
        <is>
          <t>Arbetsgivaravgifter</t>
        </is>
      </c>
      <c r="B4" s="142">
        <f>B3*'Inmatning'!B4</f>
        <v/>
      </c>
      <c r="C4" s="142" t="n"/>
      <c r="D4" s="142" t="n"/>
      <c r="E4" s="142" t="n"/>
    </row>
    <row r="5" ht="16" customHeight="1" s="155">
      <c r="A5" s="130" t="inlineStr">
        <is>
          <t>Tjänstepension</t>
        </is>
      </c>
      <c r="B5" s="142">
        <f>SUMPRODUCT('Inmatning'!B42:B47,'Inmatning'!C42:C47)</f>
        <v/>
      </c>
      <c r="C5" s="142" t="n"/>
      <c r="D5" s="142" t="n"/>
      <c r="E5" s="142" t="n"/>
    </row>
    <row r="6" ht="16" customHeight="1" s="155">
      <c r="A6" s="130" t="inlineStr">
        <is>
          <t>Personalförsäkringar</t>
        </is>
      </c>
      <c r="B6" s="142">
        <f>B3*'Inmatning'!B6</f>
        <v/>
      </c>
      <c r="C6" s="142" t="n"/>
      <c r="D6" s="142" t="n"/>
      <c r="E6" s="142" t="n"/>
    </row>
    <row r="7" ht="16" customHeight="1" s="155">
      <c r="A7" s="130" t="inlineStr">
        <is>
          <t>Summa personal/mån</t>
        </is>
      </c>
      <c r="B7" s="142">
        <f>SUM(B3:B6)</f>
        <v/>
      </c>
      <c r="C7" s="142" t="n"/>
      <c r="D7" s="142" t="n"/>
      <c r="E7" s="142" t="n"/>
    </row>
    <row r="8" ht="16" customHeight="1" s="155">
      <c r="A8" s="14" t="n"/>
      <c r="B8" s="142" t="n"/>
      <c r="C8" s="142" t="n"/>
      <c r="D8" s="142" t="n"/>
      <c r="E8" s="142" t="n"/>
    </row>
    <row r="9" ht="16" customHeight="1" s="155">
      <c r="A9" s="177" t="inlineStr">
        <is>
          <t>ABONNEMANG &amp; MJUKVARA (per månad)</t>
        </is>
      </c>
      <c r="B9" s="178" t="n"/>
      <c r="C9" s="142" t="n"/>
      <c r="D9" s="142" t="n"/>
      <c r="E9" s="142" t="n"/>
    </row>
    <row r="10" ht="16" customHeight="1" s="155">
      <c r="A10" s="152" t="inlineStr">
        <is>
          <t>Företagsförsäkring</t>
        </is>
      </c>
      <c r="B10" s="142">
        <f t="array" ref="B10">'Inmatning'!B7</f>
        <v/>
      </c>
      <c r="C10" s="142" t="n"/>
      <c r="D10" s="142" t="n"/>
      <c r="E10" s="142" t="n"/>
    </row>
    <row r="11" ht="16" customHeight="1" s="155">
      <c r="A11" s="130" t="inlineStr">
        <is>
          <t>Mobilabonnemang</t>
        </is>
      </c>
      <c r="B11" s="142">
        <f t="array" ref="B11">'Inmatning'!B8*'Inmatning'!B9</f>
        <v/>
      </c>
      <c r="C11" s="142" t="n"/>
      <c r="D11" s="142" t="n"/>
      <c r="E11" s="142" t="n"/>
    </row>
    <row r="12" ht="16" customHeight="1" s="155">
      <c r="A12" s="130" t="inlineStr">
        <is>
          <t>Internet (kontor)</t>
        </is>
      </c>
      <c r="B12" s="142">
        <f t="array" ref="B12">'Inmatning'!B10</f>
        <v/>
      </c>
      <c r="C12" s="142" t="n"/>
      <c r="D12" s="142" t="n"/>
      <c r="E12" s="142" t="n"/>
    </row>
    <row r="13" ht="16" customHeight="1" s="155">
      <c r="A13" s="130" t="inlineStr">
        <is>
          <t>Microsoft 365</t>
        </is>
      </c>
      <c r="B13" s="142">
        <f t="array" ref="B13">'Inmatning'!B11*'Inmatning'!B12</f>
        <v/>
      </c>
      <c r="C13" s="142" t="n"/>
      <c r="D13" s="142" t="n"/>
      <c r="E13" s="142" t="n"/>
    </row>
    <row r="14" ht="16" customHeight="1" s="155">
      <c r="A14" s="130" t="inlineStr">
        <is>
          <t>Adobe Creative Cloud</t>
        </is>
      </c>
      <c r="B14" s="142">
        <f t="array" ref="B14">'Inmatning'!B13*'Inmatning'!B14</f>
        <v/>
      </c>
      <c r="C14" s="142" t="n"/>
      <c r="D14" s="142" t="n"/>
      <c r="E14" s="142" t="n"/>
    </row>
    <row r="15" ht="16" customHeight="1" s="155">
      <c r="A15" s="130" t="inlineStr">
        <is>
          <t>E-signering</t>
        </is>
      </c>
      <c r="B15" s="142">
        <f t="array" ref="B15">'Inmatning'!B15</f>
        <v/>
      </c>
      <c r="C15" s="142" t="n"/>
      <c r="D15" s="142" t="n"/>
      <c r="E15" s="142" t="n"/>
    </row>
    <row r="16" ht="16" customHeight="1" s="155">
      <c r="A16" s="130" t="inlineStr">
        <is>
          <t>Bokföring/Fakturering</t>
        </is>
      </c>
      <c r="B16" s="142">
        <f t="array" ref="B16">'Inmatning'!B16</f>
        <v/>
      </c>
      <c r="C16" s="142" t="n"/>
      <c r="D16" s="142" t="n"/>
      <c r="E16" s="142" t="n"/>
    </row>
    <row r="17" ht="16" customHeight="1" s="155">
      <c r="A17" s="130" t="inlineStr">
        <is>
          <t>Projektstyrning</t>
        </is>
      </c>
      <c r="B17" s="142">
        <f t="array" ref="B17">'Inmatning'!B17</f>
        <v/>
      </c>
      <c r="C17" s="142" t="n"/>
      <c r="D17" s="142" t="n"/>
      <c r="E17" s="142" t="n"/>
    </row>
    <row r="18" ht="16" customHeight="1" s="155">
      <c r="A18" s="130" t="inlineStr">
        <is>
          <t>Summa abonnemang &amp; mjukvara/mån</t>
        </is>
      </c>
      <c r="B18" s="142">
        <f t="array" ref="B18">SUM(B10:B17)</f>
        <v/>
      </c>
      <c r="C18" s="142" t="n"/>
      <c r="D18" s="142" t="n"/>
      <c r="E18" s="142" t="n"/>
    </row>
    <row r="19" ht="16" customHeight="1" s="155">
      <c r="A19" s="14" t="n"/>
      <c r="B19" s="142" t="n"/>
      <c r="C19" s="142" t="n"/>
      <c r="D19" s="142" t="n"/>
      <c r="E19" s="142" t="n"/>
    </row>
    <row r="20" ht="16" customHeight="1" s="155">
      <c r="A20" s="177" t="inlineStr">
        <is>
          <t>LOKAL &amp; DRIFT (per månad)</t>
        </is>
      </c>
      <c r="B20" s="178" t="n"/>
      <c r="C20" s="142" t="n"/>
      <c r="D20" s="142" t="n"/>
      <c r="E20" s="142" t="n"/>
    </row>
    <row r="21" ht="15.75" customHeight="1" s="155">
      <c r="A21" s="152" t="inlineStr">
        <is>
          <t>Förbrukning/kaffe/print/städ</t>
        </is>
      </c>
      <c r="B21" s="142">
        <f t="array" ref="B21">'Inmatning'!B18</f>
        <v/>
      </c>
      <c r="C21" s="142" t="n"/>
      <c r="D21" s="142" t="n"/>
      <c r="E21" s="142" t="n"/>
    </row>
    <row r="22" ht="15.75" customHeight="1" s="155">
      <c r="A22" s="130" t="inlineStr">
        <is>
          <t>Kontorshyra</t>
        </is>
      </c>
      <c r="B22" s="142">
        <f t="array" ref="B22">'Inmatning'!B19</f>
        <v/>
      </c>
      <c r="C22" s="142" t="n"/>
      <c r="D22" s="142" t="n"/>
      <c r="E22" s="142" t="n"/>
    </row>
    <row r="23" ht="15.75" customHeight="1" s="155">
      <c r="A23" s="130" t="inlineStr">
        <is>
          <t>Summa lokal &amp; drift/mån</t>
        </is>
      </c>
      <c r="B23" s="142">
        <f t="array" ref="B23">SUM(B21:B22)</f>
        <v/>
      </c>
      <c r="C23" s="142" t="n"/>
      <c r="D23" s="142" t="n"/>
      <c r="E23" s="142" t="n"/>
    </row>
    <row r="24" ht="15.75" customHeight="1" s="155">
      <c r="A24" s="142" t="n"/>
      <c r="B24" s="142" t="n"/>
      <c r="C24" s="142" t="n"/>
      <c r="D24" s="142" t="n"/>
      <c r="E24" s="142" t="n"/>
    </row>
    <row r="25" ht="15.75" customHeight="1" s="155">
      <c r="A25" s="130" t="inlineStr">
        <is>
          <t>SUBTOTAL OPEX (exkl. hyra)</t>
        </is>
      </c>
      <c r="B25" s="142">
        <f t="array" ref="B25">B7+B18+B21</f>
        <v/>
      </c>
      <c r="C25" s="142" t="n"/>
      <c r="D25" s="142" t="n"/>
      <c r="E25" s="142" t="n"/>
    </row>
    <row r="26" ht="15.75" customHeight="1" s="155">
      <c r="A26" s="130" t="inlineStr">
        <is>
          <t>Månadskostnad inkl. hyra (OPEX)</t>
        </is>
      </c>
      <c r="B26" s="142">
        <f t="array" ref="B26">B7+B18+B23</f>
        <v/>
      </c>
      <c r="C26" s="142" t="n"/>
      <c r="D26" s="142" t="n"/>
      <c r="E26" s="142" t="n"/>
    </row>
    <row r="27" ht="15.75" customHeight="1" s="155">
      <c r="A27" s="130" t="inlineStr">
        <is>
          <t>Årskostnad inkl. hyra (OPEX × 12)</t>
        </is>
      </c>
      <c r="B27" s="142">
        <f t="array" ref="B27">B26*12</f>
        <v/>
      </c>
      <c r="C27" s="142" t="n"/>
      <c r="D27" s="142" t="n"/>
      <c r="E27" s="142" t="n"/>
    </row>
    <row r="28" ht="15.75" customHeight="1" s="155">
      <c r="A28" s="14" t="n"/>
      <c r="B28" s="142" t="n"/>
      <c r="C28" s="142" t="n"/>
      <c r="D28" s="142" t="n"/>
      <c r="E28" s="142" t="n"/>
    </row>
    <row r="29" ht="15.75" customHeight="1" s="155">
      <c r="A29" s="177" t="inlineStr">
        <is>
          <t>CAPEX – Hårdvara &amp; kontorsutrustning (engångs)</t>
        </is>
      </c>
      <c r="B29" s="178" t="n"/>
      <c r="C29" s="142" t="n"/>
      <c r="D29" s="142" t="n"/>
      <c r="E29" s="142" t="n"/>
    </row>
    <row r="30" ht="15.75" customHeight="1" s="155">
      <c r="A30" s="152" t="inlineStr">
        <is>
          <t>Bärbara datorer</t>
        </is>
      </c>
      <c r="B30" s="142">
        <f t="array" ref="B30">'Inmatning'!B20*'Inmatning'!B2</f>
        <v/>
      </c>
      <c r="C30" s="142" t="n"/>
      <c r="D30" s="142" t="n"/>
      <c r="E30" s="142" t="n"/>
    </row>
    <row r="31" ht="15.75" customHeight="1" s="155">
      <c r="A31" s="130" t="inlineStr">
        <is>
          <t>Skärmar 27"</t>
        </is>
      </c>
      <c r="B31" s="142">
        <f t="array" ref="B31">'Inmatning'!B21*'Inmatning'!B2</f>
        <v/>
      </c>
      <c r="C31" s="142" t="n"/>
      <c r="D31" s="142" t="n"/>
      <c r="E31" s="142" t="n"/>
    </row>
    <row r="32" ht="15.75" customHeight="1" s="155">
      <c r="A32" s="130" t="inlineStr">
        <is>
          <t>Dockor</t>
        </is>
      </c>
      <c r="B32" s="142">
        <f t="array" ref="B32">'Inmatning'!B22*'Inmatning'!B2</f>
        <v/>
      </c>
      <c r="C32" s="142" t="n"/>
      <c r="D32" s="142" t="n"/>
      <c r="E32" s="142" t="n"/>
    </row>
    <row r="33" ht="15.75" customHeight="1" s="155">
      <c r="A33" s="130" t="inlineStr">
        <is>
          <t>Tangentbord/mus</t>
        </is>
      </c>
      <c r="B33" s="142">
        <f t="array" ref="B33">'Inmatning'!B23*'Inmatning'!B2</f>
        <v/>
      </c>
      <c r="C33" s="142" t="n"/>
      <c r="D33" s="142" t="n"/>
      <c r="E33" s="142" t="n"/>
    </row>
    <row r="34" ht="15.75" customHeight="1" s="155">
      <c r="A34" s="130" t="inlineStr">
        <is>
          <t>Mobiltelefoner</t>
        </is>
      </c>
      <c r="B34" s="142">
        <f t="array" ref="B34">'Inmatning'!B24*'Inmatning'!B2</f>
        <v/>
      </c>
      <c r="C34" s="142" t="n"/>
      <c r="D34" s="142" t="n"/>
      <c r="E34" s="142" t="n"/>
    </row>
    <row r="35" ht="15.75" customHeight="1" s="155">
      <c r="A35" s="130" t="inlineStr">
        <is>
          <t>Skrivbord + stolar</t>
        </is>
      </c>
      <c r="B35" s="142">
        <f t="array" ref="B35">'Inmatning'!B25*'Inmatning'!B2</f>
        <v/>
      </c>
      <c r="C35" s="142" t="n"/>
      <c r="D35" s="142" t="n"/>
      <c r="E35" s="142" t="n"/>
    </row>
    <row r="36" ht="15.75" customHeight="1" s="155">
      <c r="A36" s="130" t="inlineStr">
        <is>
          <t>Mötesbord/stolar</t>
        </is>
      </c>
      <c r="B36" s="142">
        <f t="array" ref="B36">'Inmatning'!B26</f>
        <v/>
      </c>
      <c r="C36" s="142" t="n"/>
      <c r="D36" s="142" t="n"/>
      <c r="E36" s="142" t="n"/>
    </row>
    <row r="37" ht="15.75" customHeight="1" s="155">
      <c r="A37" s="130" t="inlineStr">
        <is>
          <t>Skrivare</t>
        </is>
      </c>
      <c r="B37" s="142">
        <f t="array" ref="B37">'Inmatning'!B27</f>
        <v/>
      </c>
      <c r="C37" s="142" t="n"/>
      <c r="D37" s="142" t="n"/>
      <c r="E37" s="142" t="n"/>
    </row>
    <row r="38" ht="15.75" customHeight="1" s="155">
      <c r="A38" s="130" t="inlineStr">
        <is>
          <t>Smått &amp; övrigt</t>
        </is>
      </c>
      <c r="B38" s="142">
        <f t="array" ref="B38">'Inmatning'!B28</f>
        <v/>
      </c>
      <c r="C38" s="142" t="n"/>
      <c r="D38" s="142" t="n"/>
      <c r="E38" s="142" t="n"/>
    </row>
    <row r="39" ht="15.75" customHeight="1" s="155">
      <c r="A39" s="130" t="inlineStr">
        <is>
          <t>Summa CAPEX</t>
        </is>
      </c>
      <c r="B39" s="142">
        <f t="array" ref="B39">SUM(B30:B38)</f>
        <v/>
      </c>
      <c r="C39" s="142" t="n"/>
      <c r="D39" s="142" t="n"/>
      <c r="E39" s="142" t="n"/>
    </row>
    <row r="40" ht="15.75" customHeight="1" s="155">
      <c r="A40" s="130" t="inlineStr">
        <is>
          <t>Avskrivning (mån)</t>
        </is>
      </c>
      <c r="B40" s="142">
        <f t="array" ref="B40">B39/'Inmatning'!B29</f>
        <v/>
      </c>
      <c r="C40" s="142" t="n"/>
      <c r="D40" s="142" t="n"/>
      <c r="E40" s="142" t="n"/>
    </row>
    <row r="41" ht="15.75" customHeight="1" s="155">
      <c r="A41" s="142" t="n"/>
      <c r="B41" s="142" t="n"/>
      <c r="C41" s="142" t="n"/>
      <c r="D41" s="142" t="n"/>
      <c r="E41" s="142" t="n"/>
    </row>
    <row r="42" ht="15.75" customHeight="1" s="155">
      <c r="A42" s="130" t="inlineStr">
        <is>
          <t>All-in månad (OPEX inkl. hyra + avskrivning)</t>
        </is>
      </c>
      <c r="B42" s="142">
        <f t="array" ref="B42">B26+B40</f>
        <v/>
      </c>
      <c r="C42" s="142" t="n"/>
      <c r="D42" s="142" t="n"/>
      <c r="E42" s="142" t="n"/>
    </row>
    <row r="43" ht="15.75" customHeight="1" s="155">
      <c r="A43" s="130" t="inlineStr">
        <is>
          <t>Kostnad per person och månad</t>
        </is>
      </c>
      <c r="B43" s="142">
        <f t="array" ref="B43">B26/'Inmatning'!B2</f>
        <v/>
      </c>
      <c r="C43" s="142" t="n"/>
      <c r="D43" s="142" t="n"/>
      <c r="E43" s="142" t="n"/>
    </row>
    <row r="44" ht="15.75" customHeight="1" s="155">
      <c r="A44" s="130" t="inlineStr">
        <is>
          <t>Debiterbara timmar/pers/mån</t>
        </is>
      </c>
      <c r="B44" s="142">
        <f t="array" ref="B44">'Inmatning'!B30*'Inmatning'!B31</f>
        <v/>
      </c>
      <c r="C44" s="142" t="n"/>
      <c r="D44" s="142" t="n"/>
      <c r="E44" s="142" t="n"/>
    </row>
    <row r="45" ht="15.75" customHeight="1" s="155">
      <c r="A45" s="130" t="inlineStr">
        <is>
          <t>Intern kostnad per debiterbar timme</t>
        </is>
      </c>
      <c r="B45" s="142">
        <f t="array" ref="B45">B26/('Inmatning'!B2*B44)</f>
        <v/>
      </c>
      <c r="C45" s="142" t="n"/>
      <c r="D45" s="142" t="n"/>
      <c r="E45" s="142" t="n"/>
    </row>
    <row r="46" ht="15.75" customHeight="1" s="155">
      <c r="A46" s="142" t="n"/>
      <c r="B46" s="142" t="n"/>
      <c r="C46" s="142" t="n"/>
      <c r="D46" s="142" t="n"/>
      <c r="E46" s="142" t="n"/>
    </row>
    <row r="47" ht="15.75" customHeight="1" s="155">
      <c r="A47" s="130" t="inlineStr">
        <is>
          <t>OBS: Ändra endast värden i bladet 'Inmatning' (kolumn B). Alla summor uppdateras automatiskt.</t>
        </is>
      </c>
      <c r="B47" s="179" t="n"/>
      <c r="C47" s="142" t="n"/>
      <c r="D47" s="142" t="n"/>
      <c r="E47" s="142" t="n"/>
    </row>
  </sheetData>
  <mergeCells count="5">
    <mergeCell ref="A20:B20"/>
    <mergeCell ref="A2:B2"/>
    <mergeCell ref="A29:B29"/>
    <mergeCell ref="A47:B47"/>
    <mergeCell ref="A9:B9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3" customWidth="1" style="153" min="1" max="5"/>
    <col width="8.851559999999999" customWidth="1" style="153" min="6" max="16384"/>
  </cols>
  <sheetData>
    <row r="1" ht="22" customHeight="1" s="155">
      <c r="A1" s="130" t="inlineStr">
        <is>
          <t>Månad</t>
        </is>
      </c>
      <c r="B1" s="130" t="inlineStr">
        <is>
          <t>Resultat P&amp;L</t>
        </is>
      </c>
      <c r="C1" s="130" t="inlineStr">
        <is>
          <t>Ack. resultat P&amp;L</t>
        </is>
      </c>
      <c r="D1" s="130" t="inlineStr">
        <is>
          <t>Kassaflöde</t>
        </is>
      </c>
      <c r="E1" s="130" t="inlineStr">
        <is>
          <t>Ack. kassaflöde</t>
        </is>
      </c>
    </row>
    <row r="2" ht="20" customHeight="1" s="155">
      <c r="A2" s="130" t="inlineStr">
        <is>
          <t>Maj</t>
        </is>
      </c>
      <c r="B2" s="154">
        <f t="array" ref="B2">'Budget maj-dec 2026'!B17-SUM('Budget maj-dec 2026'!B66,'Budget maj-dec 2026'!B79,'Budget maj-dec 2026'!B84,'Budget maj-dec 2026'!B87)</f>
        <v/>
      </c>
      <c r="C2" s="154">
        <f t="array" ref="C2">B2</f>
        <v/>
      </c>
      <c r="D2" s="154">
        <f t="array" ref="D2">'Budget maj-dec 2026'!B17-SUM('Budget maj-dec 2026'!B66,'Budget maj-dec 2026'!B79,'Budget maj-dec 2026'!B84,'Budget maj-dec 2026'!B87)+'Budget maj-dec 2026'!B87-'Budget maj-dec 2026'!B88</f>
        <v/>
      </c>
      <c r="E2" s="154">
        <f t="array" ref="E2">D2</f>
        <v/>
      </c>
    </row>
    <row r="3" ht="20" customHeight="1" s="155">
      <c r="A3" s="130" t="inlineStr">
        <is>
          <t>Juni</t>
        </is>
      </c>
      <c r="B3" s="154">
        <f t="array" ref="B3">'Budget maj-dec 2026'!C17-SUM('Budget maj-dec 2026'!C66,'Budget maj-dec 2026'!C79,'Budget maj-dec 2026'!C84,'Budget maj-dec 2026'!C87)</f>
        <v/>
      </c>
      <c r="C3" s="154">
        <f t="array" ref="C3">C2+B3</f>
        <v/>
      </c>
      <c r="D3" s="154">
        <f t="array" ref="D3">'Budget maj-dec 2026'!C17-SUM('Budget maj-dec 2026'!C66,'Budget maj-dec 2026'!C79,'Budget maj-dec 2026'!C84,'Budget maj-dec 2026'!C87)+'Budget maj-dec 2026'!C87-'Budget maj-dec 2026'!C88</f>
        <v/>
      </c>
      <c r="E3" s="154">
        <f t="array" ref="E3">E2+D3</f>
        <v/>
      </c>
    </row>
    <row r="4" ht="20" customHeight="1" s="155">
      <c r="A4" s="130" t="inlineStr">
        <is>
          <t>Juli</t>
        </is>
      </c>
      <c r="B4" s="154">
        <f t="array" ref="B4">'Budget maj-dec 2026'!D17-SUM('Budget maj-dec 2026'!D66,'Budget maj-dec 2026'!D79,'Budget maj-dec 2026'!D84,'Budget maj-dec 2026'!D87)</f>
        <v/>
      </c>
      <c r="C4" s="154">
        <f t="array" ref="C4">C3+B4</f>
        <v/>
      </c>
      <c r="D4" s="154">
        <f t="array" ref="D4">'Budget maj-dec 2026'!D17-SUM('Budget maj-dec 2026'!D66,'Budget maj-dec 2026'!D79,'Budget maj-dec 2026'!D84,'Budget maj-dec 2026'!D87)+'Budget maj-dec 2026'!D87-'Budget maj-dec 2026'!D88</f>
        <v/>
      </c>
      <c r="E4" s="154">
        <f t="array" ref="E4">E3+D4</f>
        <v/>
      </c>
    </row>
    <row r="5" ht="20" customHeight="1" s="155">
      <c r="A5" s="130" t="inlineStr">
        <is>
          <t>Augusti</t>
        </is>
      </c>
      <c r="B5" s="154">
        <f t="array" ref="B5">'Budget maj-dec 2026'!E17-SUM('Budget maj-dec 2026'!E66,'Budget maj-dec 2026'!E79,'Budget maj-dec 2026'!E84,'Budget maj-dec 2026'!E87)</f>
        <v/>
      </c>
      <c r="C5" s="154">
        <f t="array" ref="C5">C4+B5</f>
        <v/>
      </c>
      <c r="D5" s="154">
        <f t="array" ref="D5">'Budget maj-dec 2026'!E17-SUM('Budget maj-dec 2026'!E66,'Budget maj-dec 2026'!E79,'Budget maj-dec 2026'!E84,'Budget maj-dec 2026'!E87)+'Budget maj-dec 2026'!E87-'Budget maj-dec 2026'!E88</f>
        <v/>
      </c>
      <c r="E5" s="154">
        <f t="array" ref="E5">E4+D5</f>
        <v/>
      </c>
    </row>
    <row r="6" ht="20" customHeight="1" s="155">
      <c r="A6" s="130" t="inlineStr">
        <is>
          <t>September</t>
        </is>
      </c>
      <c r="B6" s="154">
        <f t="array" ref="B6">'Budget maj-dec 2026'!F17-SUM('Budget maj-dec 2026'!F66,'Budget maj-dec 2026'!F79,'Budget maj-dec 2026'!F84,'Budget maj-dec 2026'!F87)</f>
        <v/>
      </c>
      <c r="C6" s="154">
        <f t="array" ref="C6">C5+B6</f>
        <v/>
      </c>
      <c r="D6" s="154">
        <f t="array" ref="D6">'Budget maj-dec 2026'!F17-SUM('Budget maj-dec 2026'!F66,'Budget maj-dec 2026'!F79,'Budget maj-dec 2026'!F84,'Budget maj-dec 2026'!F87)+'Budget maj-dec 2026'!F87-'Budget maj-dec 2026'!F88</f>
        <v/>
      </c>
      <c r="E6" s="154">
        <f t="array" ref="E6">E5+D6</f>
        <v/>
      </c>
    </row>
    <row r="7" ht="20" customHeight="1" s="155">
      <c r="A7" s="130" t="inlineStr">
        <is>
          <t>Oktober</t>
        </is>
      </c>
      <c r="B7" s="154">
        <f t="array" ref="B7">'Budget maj-dec 2026'!G17-SUM('Budget maj-dec 2026'!G66,'Budget maj-dec 2026'!G79,'Budget maj-dec 2026'!G84,'Budget maj-dec 2026'!G87)</f>
        <v/>
      </c>
      <c r="C7" s="154">
        <f t="array" ref="C7">C6+B7</f>
        <v/>
      </c>
      <c r="D7" s="154">
        <f t="array" ref="D7">'Budget maj-dec 2026'!G17-SUM('Budget maj-dec 2026'!G66,'Budget maj-dec 2026'!G79,'Budget maj-dec 2026'!G84,'Budget maj-dec 2026'!G87)+'Budget maj-dec 2026'!G87-'Budget maj-dec 2026'!G88</f>
        <v/>
      </c>
      <c r="E7" s="154">
        <f t="array" ref="E7">E6+D7</f>
        <v/>
      </c>
    </row>
    <row r="8" ht="20" customHeight="1" s="155">
      <c r="A8" s="130" t="inlineStr">
        <is>
          <t>November</t>
        </is>
      </c>
      <c r="B8" s="154">
        <f t="array" ref="B8">'Budget maj-dec 2026'!H17-SUM('Budget maj-dec 2026'!H66,'Budget maj-dec 2026'!H79,'Budget maj-dec 2026'!H84,'Budget maj-dec 2026'!H87)</f>
        <v/>
      </c>
      <c r="C8" s="154">
        <f t="array" ref="C8">C7+B8</f>
        <v/>
      </c>
      <c r="D8" s="154">
        <f t="array" ref="D8">'Budget maj-dec 2026'!H17-SUM('Budget maj-dec 2026'!H66,'Budget maj-dec 2026'!H79,'Budget maj-dec 2026'!H84,'Budget maj-dec 2026'!H87)+'Budget maj-dec 2026'!H87-'Budget maj-dec 2026'!H88</f>
        <v/>
      </c>
      <c r="E8" s="154">
        <f t="array" ref="E8">E7+D8</f>
        <v/>
      </c>
    </row>
    <row r="9" ht="16" customHeight="1" s="155">
      <c r="A9" s="130" t="inlineStr">
        <is>
          <t>December</t>
        </is>
      </c>
      <c r="B9" s="154">
        <f t="array" ref="B9">'Budget maj-dec 2026'!I17-SUM('Budget maj-dec 2026'!I66,'Budget maj-dec 2026'!I79,'Budget maj-dec 2026'!I84,'Budget maj-dec 2026'!I87)</f>
        <v/>
      </c>
      <c r="C9" s="154">
        <f t="array" ref="C9">C8+B9</f>
        <v/>
      </c>
      <c r="D9" s="154">
        <f t="array" ref="D9">'Budget maj-dec 2026'!I17-SUM('Budget maj-dec 2026'!I66,'Budget maj-dec 2026'!I79,'Budget maj-dec 2026'!I84,'Budget maj-dec 2026'!I87)+'Budget maj-dec 2026'!I87-'Budget maj-dec 2026'!I88</f>
        <v/>
      </c>
      <c r="E9" s="154">
        <f t="array" ref="E9">E8+D9</f>
        <v/>
      </c>
    </row>
    <row r="10" ht="16" customHeight="1" s="155">
      <c r="A10" s="142" t="n"/>
      <c r="B10" s="142" t="n"/>
      <c r="C10" s="142" t="n"/>
      <c r="D10" s="142" t="n"/>
      <c r="E10" s="142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2026-05-06T14:49:09Z</dcterms:created>
  <dcterms:modified xmlns:dcterms="http://purl.org/dc/terms/" xmlns:xsi="http://www.w3.org/2001/XMLSchema-instance" xsi:type="dcterms:W3CDTF">2026-05-06T15:06:57Z</dcterms:modified>
</cp:coreProperties>
</file>