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Exportsammanfattning" sheetId="1" state="visible" r:id="rId1"/>
    <sheet xmlns:r="http://schemas.openxmlformats.org/officeDocument/2006/relationships" name="Budget maj-dec 2026" sheetId="2" state="visible" r:id="rId2"/>
    <sheet xmlns:r="http://schemas.openxmlformats.org/officeDocument/2006/relationships" name="Inmatning" sheetId="3" state="visible" r:id="rId3"/>
    <sheet xmlns:r="http://schemas.openxmlformats.org/officeDocument/2006/relationships" name="Resultat" sheetId="4" state="visible" r:id="rId4"/>
    <sheet xmlns:r="http://schemas.openxmlformats.org/officeDocument/2006/relationships" name="Hjälptabell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&quot; kr&quot;"/>
    <numFmt numFmtId="165" formatCode="#,##0 [$kr-41D]"/>
    <numFmt numFmtId="166" formatCode="0 [$kr-41D]"/>
    <numFmt numFmtId="167" formatCode="#,##0.00 [$kr-41D]"/>
    <numFmt numFmtId="168" formatCode="0.0%"/>
    <numFmt numFmtId="169" formatCode="#,##0 &quot;kr&quot;"/>
  </numFmts>
  <fonts count="30">
    <font>
      <name val="Calibri"/>
      <color indexed="8"/>
      <sz val="11"/>
    </font>
    <font>
      <name val="Calibri"/>
      <color indexed="8"/>
      <sz val="12"/>
    </font>
    <font>
      <name val="Calibri"/>
      <color indexed="8"/>
      <sz val="14"/>
    </font>
    <font>
      <name val="Helvetica Neue"/>
      <color indexed="8"/>
      <sz val="12"/>
    </font>
    <font>
      <name val="Calibri"/>
      <color indexed="11"/>
      <sz val="12"/>
      <u val="single"/>
    </font>
    <font>
      <name val="Calibri"/>
      <color indexed="8"/>
      <sz val="15"/>
    </font>
    <font>
      <name val="Calibri"/>
      <b val="1"/>
      <color indexed="12"/>
      <sz val="16"/>
    </font>
    <font>
      <name val="Calibri"/>
      <i val="1"/>
      <color indexed="13"/>
      <sz val="11"/>
    </font>
    <font>
      <name val="Calibri"/>
      <color indexed="16"/>
      <sz val="11"/>
    </font>
    <font>
      <name val="Calibri"/>
      <b val="1"/>
      <color indexed="12"/>
      <sz val="11"/>
    </font>
    <font>
      <name val="Calibri"/>
      <b val="1"/>
      <color indexed="13"/>
      <sz val="11"/>
    </font>
    <font>
      <name val="Calibri"/>
      <b val="1"/>
      <color indexed="23"/>
      <sz val="11"/>
    </font>
    <font>
      <name val="Calibri"/>
      <color indexed="23"/>
      <sz val="11"/>
    </font>
    <font>
      <name val="Calibri"/>
      <b val="1"/>
      <color indexed="27"/>
      <sz val="11"/>
    </font>
    <font>
      <name val="Calibri"/>
      <color indexed="13"/>
      <sz val="11"/>
    </font>
    <font>
      <name val="Calibri"/>
      <b val="1"/>
      <color indexed="16"/>
      <sz val="11"/>
    </font>
    <font>
      <name val="Calibri"/>
      <color indexed="32"/>
      <sz val="12"/>
    </font>
    <font>
      <name val="Calibri"/>
      <b val="1"/>
      <color indexed="32"/>
      <sz val="10"/>
    </font>
    <font>
      <name val="Calibri"/>
      <b val="1"/>
      <color indexed="34"/>
      <sz val="10"/>
    </font>
    <font>
      <name val="Calibri"/>
      <b val="1"/>
      <color indexed="32"/>
      <sz val="11"/>
    </font>
    <font>
      <name val="Calibri"/>
      <b val="1"/>
      <color indexed="32"/>
      <sz val="12"/>
    </font>
    <font>
      <name val="Calibri"/>
      <color indexed="34"/>
      <sz val="11"/>
    </font>
    <font>
      <name val="Calibri"/>
      <color indexed="32"/>
      <sz val="11"/>
    </font>
    <font>
      <name val="Calibri"/>
      <color indexed="34"/>
      <sz val="10"/>
    </font>
    <font>
      <name val="Calibri"/>
      <color indexed="8"/>
      <sz val="10"/>
    </font>
    <font>
      <name val="Calibri"/>
      <color indexed="34"/>
      <sz val="7"/>
    </font>
    <font>
      <name val="Calibri"/>
      <b val="1"/>
      <color indexed="34"/>
      <sz val="18"/>
    </font>
    <font>
      <name val="Calibri"/>
      <b val="1"/>
      <color indexed="34"/>
      <sz val="11"/>
    </font>
    <font>
      <b val="1"/>
      <color rgb="00FFFFFF"/>
    </font>
    <font>
      <b val="1"/>
    </font>
  </fonts>
  <fills count="18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9"/>
        <bgColor auto="1"/>
      </patternFill>
    </fill>
    <fill>
      <patternFill patternType="solid">
        <fgColor indexed="43"/>
        <bgColor auto="1"/>
      </patternFill>
    </fill>
    <fill>
      <patternFill patternType="solid">
        <fgColor rgb="00305496"/>
      </patternFill>
    </fill>
    <fill>
      <patternFill patternType="solid">
        <fgColor rgb="00D9EAF7"/>
      </patternFill>
    </fill>
  </fills>
  <borders count="73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/>
      <right/>
      <top/>
      <bottom/>
      <diagonal/>
    </border>
    <border>
      <left style="thin">
        <color indexed="14"/>
      </left>
      <right/>
      <top/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 style="hair">
        <color indexed="19"/>
      </bottom>
      <diagonal/>
    </border>
    <border>
      <left/>
      <right/>
      <top style="thin">
        <color indexed="17"/>
      </top>
      <bottom style="hair">
        <color indexed="19"/>
      </bottom>
      <diagonal/>
    </border>
    <border>
      <left/>
      <right style="thin">
        <color indexed="17"/>
      </right>
      <top style="thin">
        <color indexed="17"/>
      </top>
      <bottom style="hair">
        <color indexed="19"/>
      </bottom>
      <diagonal/>
    </border>
    <border>
      <left style="thin">
        <color indexed="17"/>
      </left>
      <right/>
      <top/>
      <bottom/>
      <diagonal/>
    </border>
    <border>
      <left style="thin">
        <color indexed="17"/>
      </left>
      <right/>
      <top style="hair">
        <color indexed="19"/>
      </top>
      <bottom style="hair">
        <color indexed="19"/>
      </bottom>
      <diagonal/>
    </border>
    <border>
      <left/>
      <right/>
      <top style="hair">
        <color indexed="19"/>
      </top>
      <bottom style="hair">
        <color indexed="19"/>
      </bottom>
      <diagonal/>
    </border>
    <border>
      <left/>
      <right style="thin">
        <color indexed="21"/>
      </right>
      <top style="hair">
        <color indexed="19"/>
      </top>
      <bottom style="hair">
        <color indexed="19"/>
      </bottom>
      <diagonal/>
    </border>
    <border>
      <left style="thin">
        <color indexed="21"/>
      </left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9"/>
      </bottom>
      <diagonal/>
    </border>
    <border>
      <left style="thin">
        <color indexed="14"/>
      </left>
      <right style="thin">
        <color indexed="14"/>
      </right>
      <top style="hair">
        <color indexed="19"/>
      </top>
      <bottom style="thin">
        <color indexed="14"/>
      </bottom>
      <diagonal/>
    </border>
    <border>
      <left/>
      <right style="thin">
        <color indexed="22"/>
      </right>
      <top style="hair">
        <color indexed="19"/>
      </top>
      <bottom style="hair">
        <color indexed="19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5"/>
      </right>
      <top style="hair">
        <color indexed="19"/>
      </top>
      <bottom style="hair">
        <color indexed="19"/>
      </bottom>
      <diagonal/>
    </border>
    <border>
      <left style="thin">
        <color indexed="25"/>
      </left>
      <right/>
      <top/>
      <bottom/>
      <diagonal/>
    </border>
    <border>
      <left/>
      <right style="thin">
        <color indexed="26"/>
      </right>
      <top style="hair">
        <color indexed="19"/>
      </top>
      <bottom style="hair">
        <color indexed="19"/>
      </bottom>
      <diagonal/>
    </border>
    <border>
      <left style="thin">
        <color indexed="26"/>
      </left>
      <right/>
      <top/>
      <bottom/>
      <diagonal/>
    </border>
    <border>
      <left/>
      <right style="thin">
        <color indexed="29"/>
      </right>
      <top style="hair">
        <color indexed="19"/>
      </top>
      <bottom style="hair">
        <color indexed="19"/>
      </bottom>
      <diagonal/>
    </border>
    <border>
      <left style="thin">
        <color indexed="29"/>
      </left>
      <right/>
      <top/>
      <bottom/>
      <diagonal/>
    </border>
    <border>
      <left style="thin">
        <color indexed="17"/>
      </left>
      <right/>
      <top style="hair">
        <color indexed="19"/>
      </top>
      <bottom style="thin">
        <color indexed="31"/>
      </bottom>
      <diagonal/>
    </border>
    <border>
      <left/>
      <right/>
      <top style="hair">
        <color indexed="19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hair">
        <color indexed="19"/>
      </bottom>
      <diagonal/>
    </border>
    <border>
      <left/>
      <right/>
      <top style="thin">
        <color indexed="31"/>
      </top>
      <bottom style="hair">
        <color indexed="19"/>
      </bottom>
      <diagonal/>
    </border>
    <border>
      <left/>
      <right style="thin">
        <color indexed="31"/>
      </right>
      <top style="thin">
        <color indexed="31"/>
      </top>
      <bottom style="hair">
        <color indexed="19"/>
      </bottom>
      <diagonal/>
    </border>
    <border>
      <left style="thin">
        <color indexed="31"/>
      </left>
      <right/>
      <top/>
      <bottom/>
      <diagonal/>
    </border>
    <border>
      <left style="thin">
        <color indexed="17"/>
      </left>
      <right style="thin">
        <color indexed="14"/>
      </right>
      <top style="hair">
        <color indexed="19"/>
      </top>
      <bottom style="thin">
        <color indexed="31"/>
      </bottom>
      <diagonal/>
    </border>
    <border>
      <left style="thin">
        <color indexed="14"/>
      </left>
      <right style="thin">
        <color indexed="14"/>
      </right>
      <top style="hair">
        <color indexed="19"/>
      </top>
      <bottom style="thin">
        <color indexed="31"/>
      </bottom>
      <diagonal/>
    </border>
    <border>
      <left style="thin">
        <color indexed="14"/>
      </left>
      <right style="thin">
        <color indexed="29"/>
      </right>
      <top style="hair">
        <color indexed="19"/>
      </top>
      <bottom style="thin">
        <color indexed="31"/>
      </bottom>
      <diagonal/>
    </border>
    <border>
      <left/>
      <right style="thin">
        <color indexed="36"/>
      </right>
      <top style="thin">
        <color indexed="31"/>
      </top>
      <bottom style="hair">
        <color indexed="19"/>
      </bottom>
      <diagonal/>
    </border>
    <border>
      <left style="thin">
        <color indexed="36"/>
      </left>
      <right/>
      <top style="thin">
        <color indexed="31"/>
      </top>
      <bottom style="hair">
        <color indexed="19"/>
      </bottom>
      <diagonal/>
    </border>
    <border>
      <left style="thin">
        <color indexed="31"/>
      </left>
      <right style="thin">
        <color indexed="14"/>
      </right>
      <top/>
      <bottom style="thin">
        <color indexed="14"/>
      </bottom>
      <diagonal/>
    </border>
    <border>
      <left/>
      <right style="thin">
        <color indexed="38"/>
      </right>
      <top style="hair">
        <color indexed="19"/>
      </top>
      <bottom style="hair">
        <color indexed="19"/>
      </bottom>
      <diagonal/>
    </border>
    <border>
      <left style="thin">
        <color indexed="38"/>
      </left>
      <right/>
      <top style="hair">
        <color indexed="19"/>
      </top>
      <bottom style="hair">
        <color indexed="19"/>
      </bottom>
      <diagonal/>
    </border>
    <border>
      <left/>
      <right style="thin">
        <color indexed="14"/>
      </right>
      <top style="hair">
        <color indexed="19"/>
      </top>
      <bottom style="hair">
        <color indexed="19"/>
      </bottom>
      <diagonal/>
    </border>
    <border>
      <left style="thin">
        <color indexed="17"/>
      </left>
      <right/>
      <top style="hair">
        <color indexed="19"/>
      </top>
      <bottom style="thin">
        <color indexed="17"/>
      </bottom>
      <diagonal/>
    </border>
    <border>
      <left/>
      <right/>
      <top style="hair">
        <color indexed="19"/>
      </top>
      <bottom style="thin">
        <color indexed="17"/>
      </bottom>
      <diagonal/>
    </border>
    <border>
      <left/>
      <right style="thin">
        <color indexed="38"/>
      </right>
      <top style="hair">
        <color indexed="19"/>
      </top>
      <bottom style="thin">
        <color indexed="17"/>
      </bottom>
      <diagonal/>
    </border>
    <border>
      <left style="thin">
        <color indexed="38"/>
      </left>
      <right/>
      <top style="hair">
        <color indexed="19"/>
      </top>
      <bottom style="thin">
        <color indexed="17"/>
      </bottom>
      <diagonal/>
    </border>
    <border>
      <left/>
      <right style="thin">
        <color indexed="14"/>
      </right>
      <top style="hair">
        <color indexed="19"/>
      </top>
      <bottom style="thin">
        <color indexed="17"/>
      </bottom>
      <diagonal/>
    </border>
    <border>
      <left style="thin">
        <color indexed="14"/>
      </left>
      <right/>
      <top style="thin">
        <color indexed="17"/>
      </top>
      <bottom style="thin">
        <color indexed="40"/>
      </bottom>
      <diagonal/>
    </border>
    <border>
      <left/>
      <right/>
      <top style="thin">
        <color indexed="17"/>
      </top>
      <bottom style="thin">
        <color indexed="40"/>
      </bottom>
      <diagonal/>
    </border>
    <border>
      <left/>
      <right/>
      <top style="thin">
        <color indexed="17"/>
      </top>
      <bottom/>
      <diagonal/>
    </border>
    <border>
      <left/>
      <right style="thin">
        <color indexed="14"/>
      </right>
      <top style="thin">
        <color indexed="17"/>
      </top>
      <bottom style="thin">
        <color indexed="1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0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40"/>
      </right>
      <top/>
      <bottom style="thin">
        <color indexed="14"/>
      </bottom>
      <diagonal/>
    </border>
    <border>
      <left style="thin">
        <color indexed="40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40"/>
      </right>
      <top style="thin">
        <color indexed="14"/>
      </top>
      <bottom style="thin">
        <color indexed="14"/>
      </bottom>
      <diagonal/>
    </border>
    <border>
      <left style="thin">
        <color indexed="40"/>
      </left>
      <right style="thin">
        <color indexed="14"/>
      </right>
      <top style="thin">
        <color indexed="14"/>
      </top>
      <bottom style="thin">
        <color indexed="4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40"/>
      </bottom>
      <diagonal/>
    </border>
    <border>
      <left style="thin">
        <color indexed="14"/>
      </left>
      <right style="thin">
        <color indexed="40"/>
      </right>
      <top style="thin">
        <color indexed="14"/>
      </top>
      <bottom style="thin">
        <color indexed="40"/>
      </bottom>
      <diagonal/>
    </border>
    <border>
      <left style="thin">
        <color indexed="14"/>
      </left>
      <right style="thin">
        <color indexed="14"/>
      </right>
      <top style="thin">
        <color indexed="40"/>
      </top>
      <bottom style="thin">
        <color indexed="14"/>
      </bottom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/>
      <bottom/>
      <diagonal/>
    </border>
    <border>
      <left/>
      <right style="thin">
        <color indexed="14"/>
      </right>
      <top/>
      <bottom style="thin">
        <color indexed="14"/>
      </bottom>
      <diagonal/>
    </border>
  </borders>
  <cellStyleXfs count="1">
    <xf numFmtId="0" fontId="0" fillId="0" borderId="9" applyAlignment="1">
      <alignment vertical="bottom"/>
    </xf>
  </cellStyleXfs>
  <cellXfs count="18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49" fontId="6" fillId="4" borderId="1" applyAlignment="1" pivotButton="0" quotePrefix="0" xfId="0">
      <alignment horizontal="left" vertical="center"/>
    </xf>
    <xf numFmtId="0" fontId="0" fillId="5" borderId="2" applyAlignment="1" pivotButton="0" quotePrefix="0" xfId="0">
      <alignment vertical="bottom"/>
    </xf>
    <xf numFmtId="0" fontId="0" fillId="5" borderId="3" applyAlignment="1" pivotButton="0" quotePrefix="0" xfId="0">
      <alignment vertical="bottom"/>
    </xf>
    <xf numFmtId="0" fontId="0" fillId="5" borderId="4" applyAlignment="1" pivotButton="0" quotePrefix="0" xfId="0">
      <alignment vertical="bottom"/>
    </xf>
    <xf numFmtId="0" fontId="0" fillId="5" borderId="5" applyAlignment="1" pivotButton="0" quotePrefix="0" xfId="0">
      <alignment vertical="bottom"/>
    </xf>
    <xf numFmtId="49" fontId="7" fillId="6" borderId="6" applyAlignment="1" pivotButton="0" quotePrefix="0" xfId="0">
      <alignment horizontal="left" vertical="center" wrapText="1"/>
    </xf>
    <xf numFmtId="0" fontId="0" fillId="5" borderId="7" applyAlignment="1" pivotButton="0" quotePrefix="0" xfId="0">
      <alignment vertical="bottom"/>
    </xf>
    <xf numFmtId="0" fontId="0" fillId="5" borderId="8" applyAlignment="1" pivotButton="0" quotePrefix="0" xfId="0">
      <alignment vertical="bottom"/>
    </xf>
    <xf numFmtId="0" fontId="0" fillId="5" borderId="1" applyAlignment="1" pivotButton="0" quotePrefix="0" xfId="0">
      <alignment vertical="bottom"/>
    </xf>
    <xf numFmtId="0" fontId="0" fillId="5" borderId="9" applyAlignment="1" pivotButton="0" quotePrefix="0" xfId="0">
      <alignment vertical="bottom"/>
    </xf>
    <xf numFmtId="0" fontId="8" fillId="5" borderId="10" applyAlignment="1" pivotButton="0" quotePrefix="0" xfId="0">
      <alignment horizontal="left" vertical="center"/>
    </xf>
    <xf numFmtId="0" fontId="8" fillId="5" borderId="11" applyAlignment="1" pivotButton="0" quotePrefix="0" xfId="0">
      <alignment vertical="center"/>
    </xf>
    <xf numFmtId="0" fontId="8" fillId="5" borderId="11" applyAlignment="1" pivotButton="0" quotePrefix="0" xfId="0">
      <alignment vertical="center" wrapText="1"/>
    </xf>
    <xf numFmtId="49" fontId="9" fillId="7" borderId="12" applyAlignment="1" pivotButton="0" quotePrefix="0" xfId="0">
      <alignment horizontal="center" vertical="center"/>
    </xf>
    <xf numFmtId="49" fontId="9" fillId="7" borderId="13" applyAlignment="1" pivotButton="0" quotePrefix="0" xfId="0">
      <alignment horizontal="center" vertical="center"/>
    </xf>
    <xf numFmtId="49" fontId="9" fillId="7" borderId="13" applyAlignment="1" pivotButton="0" quotePrefix="0" xfId="0">
      <alignment horizontal="right" vertical="center"/>
    </xf>
    <xf numFmtId="49" fontId="9" fillId="7" borderId="14" applyAlignment="1" pivotButton="0" quotePrefix="0" xfId="0">
      <alignment horizontal="left" vertical="center" wrapText="1"/>
    </xf>
    <xf numFmtId="0" fontId="0" fillId="5" borderId="15" applyAlignment="1" pivotButton="0" quotePrefix="0" xfId="0">
      <alignment vertical="bottom"/>
    </xf>
    <xf numFmtId="49" fontId="9" fillId="8" borderId="16" applyAlignment="1" pivotButton="0" quotePrefix="0" xfId="0">
      <alignment horizontal="left" vertical="center"/>
    </xf>
    <xf numFmtId="0" fontId="9" fillId="8" borderId="17" applyAlignment="1" pivotButton="0" quotePrefix="0" xfId="0">
      <alignment horizontal="left" vertical="center"/>
    </xf>
    <xf numFmtId="0" fontId="9" fillId="8" borderId="17" applyAlignment="1" pivotButton="0" quotePrefix="0" xfId="0">
      <alignment horizontal="right" vertical="center"/>
    </xf>
    <xf numFmtId="0" fontId="9" fillId="8" borderId="18" applyAlignment="1" pivotButton="0" quotePrefix="0" xfId="0">
      <alignment horizontal="left" vertical="center" wrapText="1"/>
    </xf>
    <xf numFmtId="0" fontId="0" fillId="5" borderId="19" applyAlignment="1" pivotButton="0" quotePrefix="0" xfId="0">
      <alignment vertical="bottom"/>
    </xf>
    <xf numFmtId="0" fontId="0" fillId="5" borderId="20" applyAlignment="1" pivotButton="0" quotePrefix="0" xfId="0">
      <alignment vertical="bottom"/>
    </xf>
    <xf numFmtId="49" fontId="8" fillId="5" borderId="16" applyAlignment="1" pivotButton="0" quotePrefix="0" xfId="0">
      <alignment horizontal="left" vertical="center"/>
    </xf>
    <xf numFmtId="164" fontId="8" fillId="5" borderId="17" applyAlignment="1" pivotButton="0" quotePrefix="0" xfId="0">
      <alignment horizontal="right" vertical="center"/>
    </xf>
    <xf numFmtId="49" fontId="8" fillId="5" borderId="17" applyAlignment="1" pivotButton="0" quotePrefix="0" xfId="0">
      <alignment horizontal="left" vertical="center" wrapText="1"/>
    </xf>
    <xf numFmtId="0" fontId="0" fillId="5" borderId="21" applyAlignment="1" pivotButton="0" quotePrefix="0" xfId="0">
      <alignment vertical="bottom"/>
    </xf>
    <xf numFmtId="49" fontId="10" fillId="6" borderId="16" applyAlignment="1" pivotButton="0" quotePrefix="0" xfId="0">
      <alignment horizontal="left" vertical="center"/>
    </xf>
    <xf numFmtId="164" fontId="10" fillId="6" borderId="17" applyAlignment="1" pivotButton="0" quotePrefix="0" xfId="0">
      <alignment horizontal="right" vertical="center"/>
    </xf>
    <xf numFmtId="0" fontId="10" fillId="6" borderId="22" applyAlignment="1" pivotButton="0" quotePrefix="0" xfId="0">
      <alignment horizontal="left" vertical="center" wrapText="1"/>
    </xf>
    <xf numFmtId="0" fontId="0" fillId="5" borderId="23" applyAlignment="1" pivotButton="0" quotePrefix="0" xfId="0">
      <alignment vertical="bottom"/>
    </xf>
    <xf numFmtId="0" fontId="8" fillId="5" borderId="16" applyAlignment="1" pivotButton="0" quotePrefix="0" xfId="0">
      <alignment horizontal="left" vertical="center"/>
    </xf>
    <xf numFmtId="0" fontId="8" fillId="5" borderId="17" applyAlignment="1" pivotButton="0" quotePrefix="0" xfId="0">
      <alignment horizontal="right" vertical="center"/>
    </xf>
    <xf numFmtId="0" fontId="8" fillId="5" borderId="17" applyAlignment="1" pivotButton="0" quotePrefix="0" xfId="0">
      <alignment horizontal="left" vertical="center" wrapText="1"/>
    </xf>
    <xf numFmtId="49" fontId="11" fillId="9" borderId="16" applyAlignment="1" pivotButton="0" quotePrefix="0" xfId="0">
      <alignment horizontal="left" vertical="center"/>
    </xf>
    <xf numFmtId="9" fontId="11" fillId="9" borderId="17" applyAlignment="1" pivotButton="0" quotePrefix="0" xfId="0">
      <alignment horizontal="right" vertical="center"/>
    </xf>
    <xf numFmtId="49" fontId="11" fillId="9" borderId="24" applyAlignment="1" pivotButton="0" quotePrefix="0" xfId="0">
      <alignment horizontal="left" vertical="center" wrapText="1"/>
    </xf>
    <xf numFmtId="0" fontId="0" fillId="5" borderId="25" applyAlignment="1" pivotButton="0" quotePrefix="0" xfId="0">
      <alignment vertical="bottom"/>
    </xf>
    <xf numFmtId="49" fontId="12" fillId="9" borderId="16" applyAlignment="1" pivotButton="0" quotePrefix="0" xfId="0">
      <alignment horizontal="left" vertical="center"/>
    </xf>
    <xf numFmtId="9" fontId="12" fillId="9" borderId="17" applyAlignment="1" pivotButton="0" quotePrefix="0" xfId="0">
      <alignment horizontal="right" vertical="center"/>
    </xf>
    <xf numFmtId="49" fontId="12" fillId="9" borderId="24" applyAlignment="1" pivotButton="0" quotePrefix="0" xfId="0">
      <alignment horizontal="left" vertical="center" wrapText="1"/>
    </xf>
    <xf numFmtId="0" fontId="8" fillId="0" borderId="16" applyAlignment="1" pivotButton="0" quotePrefix="0" xfId="0">
      <alignment horizontal="left" vertical="center"/>
    </xf>
    <xf numFmtId="0" fontId="8" fillId="0" borderId="17" applyAlignment="1" pivotButton="0" quotePrefix="0" xfId="0">
      <alignment horizontal="right" vertical="center"/>
    </xf>
    <xf numFmtId="0" fontId="8" fillId="0" borderId="17" applyAlignment="1" pivotButton="0" quotePrefix="0" xfId="0">
      <alignment horizontal="left" vertical="center" wrapText="1"/>
    </xf>
    <xf numFmtId="49" fontId="8" fillId="5" borderId="26" applyAlignment="1" pivotButton="0" quotePrefix="0" xfId="0">
      <alignment horizontal="left" vertical="center" wrapText="1"/>
    </xf>
    <xf numFmtId="0" fontId="0" fillId="5" borderId="27" applyAlignment="1" pivotButton="0" quotePrefix="0" xfId="0">
      <alignment vertical="bottom"/>
    </xf>
    <xf numFmtId="49" fontId="13" fillId="10" borderId="16" applyAlignment="1" pivotButton="0" quotePrefix="0" xfId="0">
      <alignment horizontal="left" vertical="center"/>
    </xf>
    <xf numFmtId="164" fontId="13" fillId="10" borderId="17" applyAlignment="1" pivotButton="0" quotePrefix="0" xfId="0">
      <alignment horizontal="right" vertical="center"/>
    </xf>
    <xf numFmtId="49" fontId="13" fillId="10" borderId="28" applyAlignment="1" pivotButton="0" quotePrefix="0" xfId="0">
      <alignment horizontal="left" vertical="center" wrapText="1"/>
    </xf>
    <xf numFmtId="0" fontId="0" fillId="5" borderId="29" applyAlignment="1" pivotButton="0" quotePrefix="0" xfId="0">
      <alignment vertical="bottom"/>
    </xf>
    <xf numFmtId="49" fontId="10" fillId="5" borderId="16" applyAlignment="1" pivotButton="0" quotePrefix="0" xfId="0">
      <alignment horizontal="left" vertical="center"/>
    </xf>
    <xf numFmtId="164" fontId="10" fillId="5" borderId="17" applyAlignment="1" pivotButton="0" quotePrefix="0" xfId="0">
      <alignment horizontal="right" vertical="center"/>
    </xf>
    <xf numFmtId="49" fontId="10" fillId="5" borderId="26" applyAlignment="1" pivotButton="0" quotePrefix="0" xfId="0">
      <alignment horizontal="left" vertical="center" wrapText="1"/>
    </xf>
    <xf numFmtId="164" fontId="13" fillId="10" borderId="17" applyAlignment="1" pivotButton="0" quotePrefix="0" xfId="0">
      <alignment horizontal="left" vertical="center"/>
    </xf>
    <xf numFmtId="0" fontId="10" fillId="5" borderId="22" applyAlignment="1" pivotButton="0" quotePrefix="0" xfId="0">
      <alignment horizontal="left" vertical="center" wrapText="1"/>
    </xf>
    <xf numFmtId="165" fontId="8" fillId="5" borderId="17" applyAlignment="1" pivotButton="0" quotePrefix="0" xfId="0">
      <alignment horizontal="right" vertical="center"/>
    </xf>
    <xf numFmtId="49" fontId="14" fillId="0" borderId="16" applyAlignment="1" pivotButton="0" quotePrefix="0" xfId="0">
      <alignment horizontal="left" vertical="center"/>
    </xf>
    <xf numFmtId="164" fontId="14" fillId="0" borderId="17" applyAlignment="1" pivotButton="0" quotePrefix="0" xfId="0">
      <alignment horizontal="right" vertical="center"/>
    </xf>
    <xf numFmtId="49" fontId="14" fillId="0" borderId="22" applyAlignment="1" pivotButton="0" quotePrefix="0" xfId="0">
      <alignment horizontal="left" vertical="center" wrapText="1"/>
    </xf>
    <xf numFmtId="0" fontId="9" fillId="5" borderId="16" applyAlignment="1" pivotButton="0" quotePrefix="0" xfId="0">
      <alignment horizontal="left" vertical="center"/>
    </xf>
    <xf numFmtId="0" fontId="9" fillId="5" borderId="17" applyAlignment="1" pivotButton="0" quotePrefix="0" xfId="0">
      <alignment horizontal="left" vertical="center"/>
    </xf>
    <xf numFmtId="0" fontId="9" fillId="5" borderId="17" applyAlignment="1" pivotButton="0" quotePrefix="0" xfId="0">
      <alignment horizontal="right" vertical="center"/>
    </xf>
    <xf numFmtId="49" fontId="9" fillId="5" borderId="18" applyAlignment="1" pivotButton="0" quotePrefix="0" xfId="0">
      <alignment horizontal="left" vertical="center" wrapText="1"/>
    </xf>
    <xf numFmtId="49" fontId="9" fillId="5" borderId="16" applyAlignment="1" pivotButton="0" quotePrefix="0" xfId="0">
      <alignment horizontal="left" vertical="center"/>
    </xf>
    <xf numFmtId="49" fontId="15" fillId="5" borderId="16" applyAlignment="1" pivotButton="0" quotePrefix="0" xfId="0">
      <alignment horizontal="left" vertical="center"/>
    </xf>
    <xf numFmtId="164" fontId="15" fillId="5" borderId="17" applyAlignment="1" pivotButton="0" quotePrefix="0" xfId="0">
      <alignment horizontal="right" vertical="center"/>
    </xf>
    <xf numFmtId="0" fontId="15" fillId="5" borderId="17" applyAlignment="1" pivotButton="0" quotePrefix="0" xfId="0">
      <alignment horizontal="left" vertical="center" wrapText="1"/>
    </xf>
    <xf numFmtId="3" fontId="8" fillId="5" borderId="17" applyAlignment="1" pivotButton="0" quotePrefix="0" xfId="0">
      <alignment horizontal="right" vertical="center"/>
    </xf>
    <xf numFmtId="49" fontId="8" fillId="5" borderId="30" applyAlignment="1" pivotButton="0" quotePrefix="0" xfId="0">
      <alignment horizontal="left" vertical="center"/>
    </xf>
    <xf numFmtId="166" fontId="8" fillId="5" borderId="31" applyAlignment="1" pivotButton="0" quotePrefix="0" xfId="0">
      <alignment horizontal="right" vertical="center"/>
    </xf>
    <xf numFmtId="49" fontId="8" fillId="5" borderId="31" applyAlignment="1" pivotButton="0" quotePrefix="0" xfId="0">
      <alignment horizontal="left" vertical="center" wrapText="1"/>
    </xf>
    <xf numFmtId="49" fontId="16" fillId="0" borderId="32" applyAlignment="1" pivotButton="0" quotePrefix="0" xfId="0">
      <alignment horizontal="left" vertical="center"/>
    </xf>
    <xf numFmtId="167" fontId="16" fillId="0" borderId="33" applyAlignment="1" pivotButton="0" quotePrefix="0" xfId="0">
      <alignment horizontal="right" vertical="center"/>
    </xf>
    <xf numFmtId="49" fontId="16" fillId="0" borderId="34" applyAlignment="1" pivotButton="0" quotePrefix="0" xfId="0">
      <alignment horizontal="left" vertical="center" wrapText="1"/>
    </xf>
    <xf numFmtId="0" fontId="0" fillId="5" borderId="35" applyAlignment="1" pivotButton="0" quotePrefix="0" xfId="0">
      <alignment vertical="bottom"/>
    </xf>
    <xf numFmtId="49" fontId="17" fillId="11" borderId="16" applyAlignment="1" pivotButton="0" quotePrefix="0" xfId="0">
      <alignment horizontal="left" vertical="center"/>
    </xf>
    <xf numFmtId="165" fontId="18" fillId="5" borderId="17" applyAlignment="1" pivotButton="0" quotePrefix="0" xfId="0">
      <alignment horizontal="right" vertical="center"/>
    </xf>
    <xf numFmtId="0" fontId="17" fillId="5" borderId="28" applyAlignment="1" pivotButton="0" quotePrefix="0" xfId="0">
      <alignment horizontal="left" vertical="center" wrapText="1"/>
    </xf>
    <xf numFmtId="0" fontId="17" fillId="11" borderId="16" applyAlignment="1" pivotButton="0" quotePrefix="0" xfId="0">
      <alignment horizontal="left" vertical="center"/>
    </xf>
    <xf numFmtId="3" fontId="18" fillId="5" borderId="17" applyAlignment="1" pivotButton="0" quotePrefix="0" xfId="0">
      <alignment horizontal="right" vertical="center"/>
    </xf>
    <xf numFmtId="168" fontId="18" fillId="5" borderId="17" applyAlignment="1" pivotButton="0" quotePrefix="0" xfId="0">
      <alignment horizontal="right" vertical="center"/>
    </xf>
    <xf numFmtId="49" fontId="17" fillId="5" borderId="28" applyAlignment="1" pivotButton="0" quotePrefix="0" xfId="0">
      <alignment horizontal="left" vertical="center" wrapText="1"/>
    </xf>
    <xf numFmtId="49" fontId="19" fillId="5" borderId="36" applyAlignment="1" pivotButton="0" quotePrefix="0" xfId="0">
      <alignment horizontal="left" vertical="center"/>
    </xf>
    <xf numFmtId="9" fontId="19" fillId="5" borderId="37" applyAlignment="1" pivotButton="0" quotePrefix="0" xfId="0">
      <alignment horizontal="right" vertical="center"/>
    </xf>
    <xf numFmtId="49" fontId="19" fillId="5" borderId="38" applyAlignment="1" pivotButton="0" quotePrefix="0" xfId="0">
      <alignment horizontal="left" vertical="center" wrapText="1"/>
    </xf>
    <xf numFmtId="0" fontId="20" fillId="12" borderId="32" applyAlignment="1" pivotButton="0" quotePrefix="0" xfId="0">
      <alignment horizontal="left" vertical="center"/>
    </xf>
    <xf numFmtId="0" fontId="20" fillId="12" borderId="33" applyAlignment="1" pivotButton="0" quotePrefix="0" xfId="0">
      <alignment horizontal="left" vertical="center"/>
    </xf>
    <xf numFmtId="0" fontId="20" fillId="12" borderId="39" applyAlignment="1" pivotButton="0" quotePrefix="0" xfId="0">
      <alignment horizontal="left" vertical="center"/>
    </xf>
    <xf numFmtId="0" fontId="20" fillId="12" borderId="40" applyAlignment="1" pivotButton="0" quotePrefix="0" xfId="0">
      <alignment horizontal="right" vertical="center"/>
    </xf>
    <xf numFmtId="0" fontId="20" fillId="12" borderId="34" applyAlignment="1" pivotButton="0" quotePrefix="0" xfId="0">
      <alignment horizontal="left" vertical="center" wrapText="1"/>
    </xf>
    <xf numFmtId="0" fontId="0" fillId="5" borderId="41" applyAlignment="1" pivotButton="0" quotePrefix="0" xfId="0">
      <alignment vertical="bottom"/>
    </xf>
    <xf numFmtId="49" fontId="17" fillId="13" borderId="16" applyAlignment="1" pivotButton="0" quotePrefix="0" xfId="0">
      <alignment horizontal="left" vertical="center"/>
    </xf>
    <xf numFmtId="3" fontId="19" fillId="13" borderId="17" applyAlignment="1" pivotButton="0" quotePrefix="0" xfId="0">
      <alignment horizontal="right" vertical="center"/>
    </xf>
    <xf numFmtId="3" fontId="19" fillId="13" borderId="42" applyAlignment="1" pivotButton="0" quotePrefix="0" xfId="0">
      <alignment horizontal="right" vertical="center"/>
    </xf>
    <xf numFmtId="3" fontId="19" fillId="13" borderId="43" applyAlignment="1" pivotButton="0" quotePrefix="0" xfId="0">
      <alignment horizontal="right" vertical="center"/>
    </xf>
    <xf numFmtId="0" fontId="19" fillId="13" borderId="17" applyAlignment="1" pivotButton="0" quotePrefix="0" xfId="0">
      <alignment horizontal="left" vertical="center" wrapText="1"/>
    </xf>
    <xf numFmtId="49" fontId="17" fillId="14" borderId="16" applyAlignment="1" pivotButton="0" quotePrefix="0" xfId="0">
      <alignment horizontal="left" vertical="center"/>
    </xf>
    <xf numFmtId="3" fontId="21" fillId="5" borderId="17" applyAlignment="1" pivotButton="0" quotePrefix="0" xfId="0">
      <alignment horizontal="right" vertical="center"/>
    </xf>
    <xf numFmtId="3" fontId="21" fillId="5" borderId="42" applyAlignment="1" pivotButton="0" quotePrefix="0" xfId="0">
      <alignment horizontal="right" vertical="center"/>
    </xf>
    <xf numFmtId="3" fontId="21" fillId="5" borderId="43" applyAlignment="1" pivotButton="0" quotePrefix="0" xfId="0">
      <alignment horizontal="right" vertical="center"/>
    </xf>
    <xf numFmtId="49" fontId="22" fillId="5" borderId="44" applyAlignment="1" pivotButton="0" quotePrefix="0" xfId="0">
      <alignment horizontal="left" vertical="center" wrapText="1"/>
    </xf>
    <xf numFmtId="49" fontId="17" fillId="14" borderId="45" applyAlignment="1" pivotButton="0" quotePrefix="0" xfId="0">
      <alignment horizontal="left" vertical="center"/>
    </xf>
    <xf numFmtId="3" fontId="21" fillId="5" borderId="46" applyAlignment="1" pivotButton="0" quotePrefix="0" xfId="0">
      <alignment horizontal="right" vertical="center"/>
    </xf>
    <xf numFmtId="3" fontId="21" fillId="5" borderId="47" applyAlignment="1" pivotButton="0" quotePrefix="0" xfId="0">
      <alignment horizontal="right" vertical="center"/>
    </xf>
    <xf numFmtId="3" fontId="21" fillId="5" borderId="48" applyAlignment="1" pivotButton="0" quotePrefix="0" xfId="0">
      <alignment horizontal="right" vertical="center"/>
    </xf>
    <xf numFmtId="49" fontId="22" fillId="5" borderId="49" applyAlignment="1" pivotButton="0" quotePrefix="0" xfId="0">
      <alignment horizontal="left" vertical="center" wrapText="1"/>
    </xf>
    <xf numFmtId="49" fontId="19" fillId="14" borderId="50" applyAlignment="1" pivotButton="0" quotePrefix="0" xfId="0">
      <alignment vertical="bottom"/>
    </xf>
    <xf numFmtId="3" fontId="0" fillId="5" borderId="51" applyAlignment="1" pivotButton="0" quotePrefix="0" xfId="0">
      <alignment vertical="bottom"/>
    </xf>
    <xf numFmtId="3" fontId="0" fillId="5" borderId="52" applyAlignment="1" pivotButton="0" quotePrefix="0" xfId="0">
      <alignment vertical="bottom"/>
    </xf>
    <xf numFmtId="49" fontId="22" fillId="5" borderId="53" applyAlignment="1" pivotButton="0" quotePrefix="0" xfId="0">
      <alignment vertical="bottom"/>
    </xf>
    <xf numFmtId="0" fontId="17" fillId="14" borderId="54" applyAlignment="1" pivotButton="0" quotePrefix="0" xfId="0">
      <alignment vertical="bottom"/>
    </xf>
    <xf numFmtId="3" fontId="18" fillId="5" borderId="55" applyAlignment="1" pivotButton="0" quotePrefix="0" xfId="0">
      <alignment vertical="bottom"/>
    </xf>
    <xf numFmtId="3" fontId="18" fillId="5" borderId="56" applyAlignment="1" pivotButton="0" quotePrefix="0" xfId="0">
      <alignment vertical="bottom"/>
    </xf>
    <xf numFmtId="3" fontId="0" fillId="5" borderId="57" applyAlignment="1" pivotButton="0" quotePrefix="0" xfId="0">
      <alignment vertical="bottom"/>
    </xf>
    <xf numFmtId="0" fontId="22" fillId="5" borderId="2" applyAlignment="1" pivotButton="0" quotePrefix="0" xfId="0">
      <alignment vertical="bottom"/>
    </xf>
    <xf numFmtId="49" fontId="17" fillId="14" borderId="57" applyAlignment="1" pivotButton="0" quotePrefix="0" xfId="0">
      <alignment vertical="bottom"/>
    </xf>
    <xf numFmtId="3" fontId="23" fillId="5" borderId="9" applyAlignment="1" pivotButton="0" quotePrefix="0" xfId="0">
      <alignment vertical="bottom"/>
    </xf>
    <xf numFmtId="3" fontId="23" fillId="5" borderId="58" applyAlignment="1" pivotButton="0" quotePrefix="0" xfId="0">
      <alignment vertical="bottom"/>
    </xf>
    <xf numFmtId="0" fontId="17" fillId="5" borderId="59" applyAlignment="1" pivotButton="0" quotePrefix="0" xfId="0">
      <alignment vertical="bottom"/>
    </xf>
    <xf numFmtId="49" fontId="24" fillId="5" borderId="60" applyAlignment="1" pivotButton="0" quotePrefix="0" xfId="0">
      <alignment vertical="bottom"/>
    </xf>
    <xf numFmtId="49" fontId="24" fillId="5" borderId="61" applyAlignment="1" pivotButton="0" quotePrefix="0" xfId="0">
      <alignment vertical="bottom"/>
    </xf>
    <xf numFmtId="49" fontId="0" fillId="5" borderId="59" applyAlignment="1" pivotButton="0" quotePrefix="0" xfId="0">
      <alignment vertical="bottom"/>
    </xf>
    <xf numFmtId="49" fontId="0" fillId="5" borderId="3" applyAlignment="1" pivotButton="0" quotePrefix="0" xfId="0">
      <alignment vertical="bottom"/>
    </xf>
    <xf numFmtId="49" fontId="17" fillId="5" borderId="62" applyAlignment="1" pivotButton="0" quotePrefix="0" xfId="0">
      <alignment vertical="bottom"/>
    </xf>
    <xf numFmtId="3" fontId="24" fillId="5" borderId="3" applyAlignment="1" pivotButton="0" quotePrefix="0" xfId="0">
      <alignment vertical="bottom"/>
    </xf>
    <xf numFmtId="3" fontId="24" fillId="5" borderId="63" applyAlignment="1" pivotButton="0" quotePrefix="0" xfId="0">
      <alignment vertical="bottom"/>
    </xf>
    <xf numFmtId="164" fontId="0" fillId="5" borderId="62" applyAlignment="1" pivotButton="0" quotePrefix="0" xfId="0">
      <alignment vertical="bottom"/>
    </xf>
    <xf numFmtId="49" fontId="0" fillId="5" borderId="4" applyAlignment="1" pivotButton="0" quotePrefix="0" xfId="0">
      <alignment vertical="bottom"/>
    </xf>
    <xf numFmtId="49" fontId="17" fillId="5" borderId="64" applyAlignment="1" pivotButton="0" quotePrefix="0" xfId="0">
      <alignment vertical="bottom"/>
    </xf>
    <xf numFmtId="3" fontId="24" fillId="5" borderId="65" applyAlignment="1" pivotButton="0" quotePrefix="0" xfId="0">
      <alignment vertical="bottom"/>
    </xf>
    <xf numFmtId="3" fontId="24" fillId="5" borderId="66" applyAlignment="1" pivotButton="0" quotePrefix="0" xfId="0">
      <alignment vertical="bottom"/>
    </xf>
    <xf numFmtId="3" fontId="0" fillId="5" borderId="62" applyAlignment="1" pivotButton="0" quotePrefix="0" xfId="0">
      <alignment vertical="bottom"/>
    </xf>
    <xf numFmtId="49" fontId="0" fillId="5" borderId="67" applyAlignment="1" pivotButton="0" quotePrefix="0" xfId="0">
      <alignment vertical="bottom"/>
    </xf>
    <xf numFmtId="4" fontId="0" fillId="5" borderId="67" applyAlignment="1" pivotButton="0" quotePrefix="0" xfId="0">
      <alignment vertical="bottom"/>
    </xf>
    <xf numFmtId="0" fontId="0" fillId="5" borderId="3" applyAlignment="1" pivotButton="0" quotePrefix="0" xfId="0">
      <alignment vertical="bottom"/>
    </xf>
    <xf numFmtId="0" fontId="0" fillId="5" borderId="6" applyAlignment="1" pivotButton="0" quotePrefix="0" xfId="0">
      <alignment vertical="bottom"/>
    </xf>
    <xf numFmtId="0" fontId="0" fillId="5" borderId="68" applyAlignment="1" pivotButton="0" quotePrefix="0" xfId="0">
      <alignment vertical="bottom"/>
    </xf>
    <xf numFmtId="0" fontId="0" fillId="5" borderId="6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27" fillId="5" borderId="3" applyAlignment="1" pivotButton="0" quotePrefix="0" xfId="0">
      <alignment vertical="bottom"/>
    </xf>
    <xf numFmtId="9" fontId="21" fillId="5" borderId="3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49" fontId="27" fillId="5" borderId="8" applyAlignment="1" pivotButton="0" quotePrefix="0" xfId="0">
      <alignment vertical="bottom"/>
    </xf>
    <xf numFmtId="49" fontId="27" fillId="15" borderId="6" applyAlignment="1" pivotButton="0" quotePrefix="0" xfId="0">
      <alignment vertical="bottom"/>
    </xf>
    <xf numFmtId="49" fontId="0" fillId="5" borderId="6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" fontId="0" fillId="5" borderId="3" applyAlignment="1" pivotButton="0" quotePrefix="0" xfId="0">
      <alignment vertical="bottom"/>
    </xf>
    <xf numFmtId="0" fontId="0" fillId="0" borderId="0" pivotButton="0" quotePrefix="0" xfId="0"/>
    <xf numFmtId="0" fontId="1" fillId="0" borderId="9" applyAlignment="1" pivotButton="0" quotePrefix="0" xfId="0">
      <alignment horizontal="left" vertical="bottom" wrapText="1"/>
    </xf>
    <xf numFmtId="49" fontId="6" fillId="4" borderId="4" applyAlignment="1" pivotButton="0" quotePrefix="0" xfId="0">
      <alignment horizontal="left" vertical="center"/>
    </xf>
    <xf numFmtId="0" fontId="0" fillId="0" borderId="70" pivotButton="0" quotePrefix="0" xfId="0"/>
    <xf numFmtId="164" fontId="8" fillId="5" borderId="17" applyAlignment="1" pivotButton="0" quotePrefix="0" xfId="0">
      <alignment horizontal="right" vertical="center"/>
    </xf>
    <xf numFmtId="164" fontId="10" fillId="6" borderId="17" applyAlignment="1" pivotButton="0" quotePrefix="0" xfId="0">
      <alignment horizontal="right" vertical="center"/>
    </xf>
    <xf numFmtId="164" fontId="13" fillId="10" borderId="17" applyAlignment="1" pivotButton="0" quotePrefix="0" xfId="0">
      <alignment horizontal="right" vertical="center"/>
    </xf>
    <xf numFmtId="164" fontId="10" fillId="5" borderId="17" applyAlignment="1" pivotButton="0" quotePrefix="0" xfId="0">
      <alignment horizontal="right" vertical="center"/>
    </xf>
    <xf numFmtId="164" fontId="13" fillId="10" borderId="17" applyAlignment="1" pivotButton="0" quotePrefix="0" xfId="0">
      <alignment horizontal="left" vertical="center"/>
    </xf>
    <xf numFmtId="165" fontId="8" fillId="5" borderId="17" applyAlignment="1" pivotButton="0" quotePrefix="0" xfId="0">
      <alignment horizontal="right" vertical="center"/>
    </xf>
    <xf numFmtId="164" fontId="14" fillId="0" borderId="17" applyAlignment="1" pivotButton="0" quotePrefix="0" xfId="0">
      <alignment horizontal="right" vertical="center"/>
    </xf>
    <xf numFmtId="164" fontId="15" fillId="5" borderId="17" applyAlignment="1" pivotButton="0" quotePrefix="0" xfId="0">
      <alignment horizontal="right" vertical="center"/>
    </xf>
    <xf numFmtId="166" fontId="8" fillId="5" borderId="31" applyAlignment="1" pivotButton="0" quotePrefix="0" xfId="0">
      <alignment horizontal="right" vertical="center"/>
    </xf>
    <xf numFmtId="167" fontId="16" fillId="0" borderId="33" applyAlignment="1" pivotButton="0" quotePrefix="0" xfId="0">
      <alignment horizontal="right" vertical="center"/>
    </xf>
    <xf numFmtId="165" fontId="18" fillId="5" borderId="17" applyAlignment="1" pivotButton="0" quotePrefix="0" xfId="0">
      <alignment horizontal="right" vertical="center"/>
    </xf>
    <xf numFmtId="168" fontId="18" fillId="5" borderId="17" applyAlignment="1" pivotButton="0" quotePrefix="0" xfId="0">
      <alignment horizontal="right" vertical="center"/>
    </xf>
    <xf numFmtId="164" fontId="0" fillId="5" borderId="62" applyAlignment="1" pivotButton="0" quotePrefix="0" xfId="0">
      <alignment vertical="bottom"/>
    </xf>
    <xf numFmtId="0" fontId="28" fillId="16" borderId="0" pivotButton="0" quotePrefix="0" xfId="0"/>
    <xf numFmtId="0" fontId="29" fillId="17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49" fontId="27" fillId="15" borderId="60" applyAlignment="1" pivotButton="0" quotePrefix="0" xfId="0">
      <alignment vertical="bottom"/>
    </xf>
    <xf numFmtId="0" fontId="0" fillId="0" borderId="72" pivotButton="0" quotePrefix="0" xfId="0"/>
    <xf numFmtId="0" fontId="0" fillId="0" borderId="2" pivotButton="0" quotePrefix="0" xfId="0"/>
  </cellXfs>
  <cellStyles count="1">
    <cellStyle name="Normal" xfId="0" builtinId="0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203864"/>
      <rgbColor rgb="ffaaaaaa"/>
      <rgbColor rgb="ffd9e2f3"/>
      <rgbColor rgb="ff1f1f1f"/>
      <rgbColor rgb="ff8faadc"/>
      <rgbColor rgb="ff5b9bd5"/>
      <rgbColor rgb="ffededed"/>
      <rgbColor rgb="ff4472c4"/>
      <rgbColor rgb="ff2f5597"/>
      <rgbColor rgb="ff9fbad0"/>
      <rgbColor rgb="ff7f6000"/>
      <rgbColor rgb="fffff2cc"/>
      <rgbColor rgb="ffd6b656"/>
      <rgbColor rgb="ffd9d9d9"/>
      <rgbColor rgb="ff375623"/>
      <rgbColor rgb="ffe2f0d9"/>
      <rgbColor rgb="ffa9d18e"/>
      <rgbColor rgb="ffc00000"/>
      <rgbColor rgb="ffd1d5db"/>
      <rgbColor rgb="ff1f2937"/>
      <rgbColor rgb="ffeaf1e7"/>
      <rgbColor rgb="ff111827"/>
      <rgbColor rgb="ffd8e5e1"/>
      <rgbColor rgb="ff7f7f7f"/>
      <rgbColor rgb="ffeef2f1"/>
      <rgbColor rgb="ffd0d7de"/>
      <rgbColor rgb="fff3f4f6"/>
      <rgbColor rgb="ffe5e7eb"/>
      <rgbColor rgb="ff88888a"/>
      <rgbColor rgb="ffcccccc"/>
      <rgbColor rgb="fff2f2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i="0" strike="noStrike">
                <a:solidFill>
                  <a:srgbClr val="111827"/>
                </a:solidFill>
                <a:latin typeface="Calibri"/>
              </a:defRPr>
            </a:pPr>
            <a:r>
              <a:rPr sz="1800" b="1" i="0" strike="noStrike">
                <a:solidFill>
                  <a:srgbClr val="111827"/>
                </a:solidFill>
                <a:latin typeface="Calibri"/>
              </a:rPr>
              <a:t>Resultat och kassaflöde maj–december</a:t>
            </a:r>
          </a:p>
        </rich>
      </tx>
      <layout>
        <manualLayout>
          <xMode val="edge"/>
          <yMode val="edge"/>
          <wMode val="factor"/>
          <hMode val="factor"/>
          <x val="0.338192"/>
          <y val="0"/>
          <w val="0.323617"/>
          <h val="0.130863"/>
        </manualLayout>
      </layout>
      <overlay val="1"/>
      <spPr>
        <a:noFill xmlns:a="http://schemas.openxmlformats.org/drawingml/2006/main"/>
        <a:ln xmlns:a="http://schemas.openxmlformats.org/drawingml/2006/main"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696123"/>
          <y val="0.130863"/>
          <w val="0.925388"/>
          <h val="0.697647"/>
        </manualLayout>
      </layout>
      <lineChart>
        <grouping val="standard"/>
        <varyColors val="0"/>
        <ser>
          <idx val="0"/>
          <order val="0"/>
          <tx>
            <strRef>
              <f>'Hjälptabell'!$B$1</f>
              <strCache>
                <ptCount val="1"/>
                <pt idx="0">
                  <v>Resultat P&amp;L</v>
                </pt>
              </strCache>
            </strRef>
          </tx>
          <spPr>
            <a:noFill xmlns:a="http://schemas.openxmlformats.org/drawingml/2006/main"/>
            <a:ln xmlns:a="http://schemas.openxmlformats.org/drawingml/2006/main" w="19050" cap="flat">
              <a:solidFill>
                <a:schemeClr val="accent1"/>
              </a:solidFill>
              <a:prstDash val="solid"/>
              <a:round/>
            </a:ln>
          </spPr>
          <marker>
            <symbol val="none"/>
            <size val="4"/>
            <spPr>
              <a:noFill xmlns:a="http://schemas.openxmlformats.org/drawingml/2006/main"/>
              <a:ln xmlns:a="http://schemas.openxmlformats.org/drawingml/2006/main" w="19050" cap="flat">
                <a:solidFill>
                  <a:schemeClr val="accent1"/>
                </a:solidFill>
                <a:prstDash val="solid"/>
                <a:round/>
              </a:ln>
            </spPr>
          </marker>
          <dLbls>
            <numFmt formatCode="#,##0.00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>
                    <a:solidFill>
                      <a:srgbClr val="111827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'Hjälptabell'!$A$2:$A$9</f>
              <strCache>
                <ptCount val="8"/>
                <pt idx="0">
                  <v>Maj</v>
                </pt>
                <pt idx="1">
                  <v>Juni</v>
                </pt>
                <pt idx="2">
                  <v>Juli</v>
                </pt>
                <pt idx="3">
                  <v>Augusti</v>
                </pt>
                <pt idx="4">
                  <v>September</v>
                </pt>
                <pt idx="5">
                  <v>Oktober</v>
                </pt>
                <pt idx="6">
                  <v>November</v>
                </pt>
                <pt idx="7">
                  <v>December</v>
                </pt>
              </strCache>
            </strRef>
          </cat>
          <val>
            <numRef>
              <f>'Hjälptabell'!$B$2:$B$9</f>
              <numCache>
                <ptCount val="8"/>
                <pt idx="0">
                  <v>115557.6</v>
                </pt>
                <pt idx="1">
                  <v>99700</v>
                </pt>
                <pt idx="2">
                  <v>-215951.2</v>
                </pt>
                <pt idx="3">
                  <v>50048.8</v>
                </pt>
                <pt idx="4">
                  <v>-57528.8</v>
                </pt>
                <pt idx="5">
                  <v>-57528.8</v>
                </pt>
                <pt idx="6">
                  <v>-57528.8</v>
                </pt>
                <pt idx="7">
                  <v>-57528.8</v>
                </pt>
              </numCache>
            </numRef>
          </val>
          <smooth val="0"/>
        </ser>
        <ser>
          <idx val="1"/>
          <order val="1"/>
          <tx>
            <strRef>
              <f>'Hjälptabell'!$C$1</f>
              <strCache>
                <ptCount val="1"/>
                <pt idx="0">
                  <v>Ack. resultat P&amp;L</v>
                </pt>
              </strCache>
            </strRef>
          </tx>
          <spPr>
            <a:noFill xmlns:a="http://schemas.openxmlformats.org/drawingml/2006/main"/>
            <a:ln xmlns:a="http://schemas.openxmlformats.org/drawingml/2006/main" w="19050" cap="flat">
              <a:solidFill>
                <a:schemeClr val="accent2"/>
              </a:solidFill>
              <a:prstDash val="solid"/>
              <a:round/>
            </a:ln>
          </spPr>
          <marker>
            <symbol val="none"/>
            <size val="4"/>
            <spPr>
              <a:noFill xmlns:a="http://schemas.openxmlformats.org/drawingml/2006/main"/>
              <a:ln xmlns:a="http://schemas.openxmlformats.org/drawingml/2006/main" w="19050" cap="flat">
                <a:solidFill>
                  <a:schemeClr val="accent2"/>
                </a:solidFill>
                <a:prstDash val="solid"/>
                <a:round/>
              </a:ln>
            </spPr>
          </marker>
          <dLbls>
            <numFmt formatCode="#,##0.00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>
                    <a:solidFill>
                      <a:srgbClr val="111827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'Hjälptabell'!$A$2:$A$9</f>
              <strCache>
                <ptCount val="8"/>
                <pt idx="0">
                  <v>Maj</v>
                </pt>
                <pt idx="1">
                  <v>Juni</v>
                </pt>
                <pt idx="2">
                  <v>Juli</v>
                </pt>
                <pt idx="3">
                  <v>Augusti</v>
                </pt>
                <pt idx="4">
                  <v>September</v>
                </pt>
                <pt idx="5">
                  <v>Oktober</v>
                </pt>
                <pt idx="6">
                  <v>November</v>
                </pt>
                <pt idx="7">
                  <v>December</v>
                </pt>
              </strCache>
            </strRef>
          </cat>
          <val>
            <numRef>
              <f>'Hjälptabell'!$C$2:$C$9</f>
              <numCache>
                <ptCount val="8"/>
                <pt idx="0">
                  <v>115557.6</v>
                </pt>
                <pt idx="1">
                  <v>215257.6</v>
                </pt>
                <pt idx="2">
                  <v>-693.6</v>
                </pt>
                <pt idx="3">
                  <v>49355.2</v>
                </pt>
                <pt idx="4">
                  <v>-8173.6</v>
                </pt>
                <pt idx="5">
                  <v>-65702.39999999999</v>
                </pt>
                <pt idx="6">
                  <v>-123231.2</v>
                </pt>
                <pt idx="7">
                  <v>-180760</v>
                </pt>
              </numCache>
            </numRef>
          </val>
          <smooth val="0"/>
        </ser>
        <ser>
          <idx val="2"/>
          <order val="2"/>
          <tx>
            <strRef>
              <f>'Hjälptabell'!$D$1</f>
              <strCache>
                <ptCount val="1"/>
                <pt idx="0">
                  <v>Kassaflöde</v>
                </pt>
              </strCache>
            </strRef>
          </tx>
          <spPr>
            <a:noFill xmlns:a="http://schemas.openxmlformats.org/drawingml/2006/main"/>
            <a:ln xmlns:a="http://schemas.openxmlformats.org/drawingml/2006/main" w="19050" cap="flat">
              <a:solidFill>
                <a:schemeClr val="accent3"/>
              </a:solidFill>
              <a:prstDash val="solid"/>
              <a:round/>
            </a:ln>
          </spPr>
          <marker>
            <symbol val="none"/>
            <size val="4"/>
            <spPr>
              <a:noFill xmlns:a="http://schemas.openxmlformats.org/drawingml/2006/main"/>
              <a:ln xmlns:a="http://schemas.openxmlformats.org/drawingml/2006/main" w="19050" cap="flat">
                <a:solidFill>
                  <a:schemeClr val="accent3"/>
                </a:solidFill>
                <a:prstDash val="solid"/>
                <a:round/>
              </a:ln>
            </spPr>
          </marker>
          <dLbls>
            <numFmt formatCode="#,##0.00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>
                    <a:solidFill>
                      <a:srgbClr val="111827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'Hjälptabell'!$A$2:$A$9</f>
              <strCache>
                <ptCount val="8"/>
                <pt idx="0">
                  <v>Maj</v>
                </pt>
                <pt idx="1">
                  <v>Juni</v>
                </pt>
                <pt idx="2">
                  <v>Juli</v>
                </pt>
                <pt idx="3">
                  <v>Augusti</v>
                </pt>
                <pt idx="4">
                  <v>September</v>
                </pt>
                <pt idx="5">
                  <v>Oktober</v>
                </pt>
                <pt idx="6">
                  <v>November</v>
                </pt>
                <pt idx="7">
                  <v>December</v>
                </pt>
              </strCache>
            </strRef>
          </cat>
          <val>
            <numRef>
              <f>'Hjälptabell'!$D$2:$D$9</f>
              <numCache>
                <ptCount val="8"/>
                <pt idx="0">
                  <v>115557.6</v>
                </pt>
                <pt idx="1">
                  <v>99700</v>
                </pt>
                <pt idx="2">
                  <v>-215951.2</v>
                </pt>
                <pt idx="3">
                  <v>50048.8</v>
                </pt>
                <pt idx="4">
                  <v>-57528.8</v>
                </pt>
                <pt idx="5">
                  <v>-57528.8</v>
                </pt>
                <pt idx="6">
                  <v>-57528.8</v>
                </pt>
                <pt idx="7">
                  <v>-57528.8</v>
                </pt>
              </numCache>
            </numRef>
          </val>
          <smooth val="0"/>
        </ser>
        <ser>
          <idx val="3"/>
          <order val="3"/>
          <tx>
            <strRef>
              <f>'Hjälptabell'!$E$1</f>
              <strCache>
                <ptCount val="1"/>
                <pt idx="0">
                  <v>Ack. kassaflöde</v>
                </pt>
              </strCache>
            </strRef>
          </tx>
          <spPr>
            <a:noFill xmlns:a="http://schemas.openxmlformats.org/drawingml/2006/main"/>
            <a:ln xmlns:a="http://schemas.openxmlformats.org/drawingml/2006/main" w="19050" cap="flat">
              <a:solidFill>
                <a:schemeClr val="accent4"/>
              </a:solidFill>
              <a:prstDash val="solid"/>
              <a:round/>
            </a:ln>
          </spPr>
          <marker>
            <symbol val="none"/>
            <size val="4"/>
            <spPr>
              <a:noFill xmlns:a="http://schemas.openxmlformats.org/drawingml/2006/main"/>
              <a:ln xmlns:a="http://schemas.openxmlformats.org/drawingml/2006/main" w="19050" cap="flat">
                <a:solidFill>
                  <a:schemeClr val="accent4"/>
                </a:solidFill>
                <a:prstDash val="solid"/>
                <a:round/>
              </a:ln>
            </spPr>
          </marker>
          <dLbls>
            <numFmt formatCode="#,##0.00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>
                    <a:solidFill>
                      <a:srgbClr val="111827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'Hjälptabell'!$A$2:$A$9</f>
              <strCache>
                <ptCount val="8"/>
                <pt idx="0">
                  <v>Maj</v>
                </pt>
                <pt idx="1">
                  <v>Juni</v>
                </pt>
                <pt idx="2">
                  <v>Juli</v>
                </pt>
                <pt idx="3">
                  <v>Augusti</v>
                </pt>
                <pt idx="4">
                  <v>September</v>
                </pt>
                <pt idx="5">
                  <v>Oktober</v>
                </pt>
                <pt idx="6">
                  <v>November</v>
                </pt>
                <pt idx="7">
                  <v>December</v>
                </pt>
              </strCache>
            </strRef>
          </cat>
          <val>
            <numRef>
              <f>'Hjälptabell'!$E$2:$E$9</f>
              <numCache>
                <ptCount val="8"/>
                <pt idx="0">
                  <v>115557.6</v>
                </pt>
                <pt idx="1">
                  <v>215257.6</v>
                </pt>
                <pt idx="2">
                  <v>-693.6</v>
                </pt>
                <pt idx="3">
                  <v>49355.2</v>
                </pt>
                <pt idx="4">
                  <v>-8173.6</v>
                </pt>
                <pt idx="5">
                  <v>-65702.39999999999</v>
                </pt>
                <pt idx="6">
                  <v>-123231.2</v>
                </pt>
                <pt idx="7">
                  <v>-180760</v>
                </pt>
              </numCache>
            </numRef>
          </val>
          <smooth val="0"/>
        </ser>
        <marker val="1"/>
        <axId val="2094734552"/>
        <axId val="2094734553"/>
      </lineChart>
      <catAx>
        <axId val="2094734552"/>
        <scaling>
          <orientation val="minMax"/>
        </scaling>
        <delete val="0"/>
        <axPos val="b"/>
        <majorGridlines>
          <spPr>
            <a:ln xmlns:a="http://schemas.openxmlformats.org/drawingml/2006/main" w="12700" cap="flat">
              <a:solidFill>
                <a:srgbClr val="CCCCCC"/>
              </a:solidFill>
              <a:prstDash val="dash"/>
              <a:round/>
            </a:ln>
          </spPr>
        </majorGridlines>
        <numFmt formatCode="General" sourceLinked="1"/>
        <majorTickMark val="none"/>
        <minorTickMark val="none"/>
        <tickLblPos val="low"/>
        <spPr>
          <a:ln xmlns:a="http://schemas.openxmlformats.org/drawingml/2006/main" w="12700" cap="flat">
            <a:solidFill>
              <a:srgbClr val="88898B"/>
            </a:solidFill>
            <a:prstDash val="solid"/>
            <a:round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111827"/>
                </a:solidFill>
                <a:latin typeface="Calibri"/>
              </a:defRPr>
            </a:pPr>
            <a:r>
              <a:t/>
            </a:r>
          </a:p>
        </txPr>
        <crossAx val="2094734553"/>
        <crosses val="autoZero"/>
        <auto val="1"/>
        <lblAlgn val="ctr"/>
        <lblOffset val="100"/>
        <noMultiLvlLbl val="1"/>
      </catAx>
      <valAx>
        <axId val="2094734553"/>
        <scaling>
          <orientation val="minMax"/>
        </scaling>
        <delete val="0"/>
        <axPos val="l"/>
        <majorGridlines>
          <spPr>
            <a:ln xmlns:a="http://schemas.openxmlformats.org/drawingml/2006/main" w="12700" cap="flat">
              <a:solidFill>
                <a:srgbClr val="CCCCCC"/>
              </a:solidFill>
              <a:prstDash val="dash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12700" cap="flat">
            <a:solidFill>
              <a:srgbClr val="88898B"/>
            </a:solidFill>
            <a:prstDash val="solid"/>
            <a:round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111827"/>
                </a:solidFill>
                <a:latin typeface="Calibri"/>
              </a:defRPr>
            </a:pPr>
            <a:r>
              <a:t/>
            </a:r>
          </a:p>
        </txPr>
        <crossAx val="2094734552"/>
        <crosses val="autoZero"/>
        <crossBetween val="between"/>
        <majorUnit val="150000"/>
        <minorUnit val="75000"/>
      </valAx>
    </plotArea>
    <legend>
      <legendPos val="b"/>
      <layout>
        <manualLayout>
          <xMode val="edge"/>
          <yMode val="edge"/>
          <wMode val="factor"/>
          <hMode val="factor"/>
          <x val="0.454385"/>
          <y val="0.9182439999999999"/>
          <w val="0.150545"/>
          <h val="0.081756"/>
        </manualLayout>
      </layout>
      <overlay val="1"/>
      <spPr>
        <a:noFill xmlns:a="http://schemas.openxmlformats.org/drawingml/2006/main"/>
        <a:ln xmlns:a="http://schemas.openxmlformats.org/drawingml/2006/main" w="12700" cap="flat">
          <a:noFill/>
          <a:prstDash val="solid"/>
          <a:miter lim="400000"/>
        </a:ln>
      </spPr>
      <txPr>
        <a:bodyPr xmlns:a="http://schemas.openxmlformats.org/drawingml/2006/main" rot="0"/>
        <a:lstStyle xmlns:a="http://schemas.openxmlformats.org/drawingml/2006/main"/>
        <a:p xmlns:a="http://schemas.openxmlformats.org/drawingml/2006/main">
          <a:pPr>
            <a:defRPr sz="700" b="0" i="0" strike="noStrike">
              <a:solidFill>
                <a:srgbClr val="111827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12700" cap="flat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Codex</author>
  </authors>
  <commentList>
    <comment ref="B25" authorId="0" shapeId="0">
      <text>
        <t>Hämtas från Inmatning. Skriv över cellen manuellt om denna månad ska avvika.</t>
      </text>
    </comment>
    <comment ref="C25" authorId="0" shapeId="0">
      <text>
        <t>Hämtas från Inmatning. Skriv över cellen manuellt om denna månad ska avvika.</t>
      </text>
    </comment>
    <comment ref="D25" authorId="0" shapeId="0">
      <text>
        <t>Hämtas från Inmatning. Skriv över cellen manuellt om denna månad ska avvika.</t>
      </text>
    </comment>
    <comment ref="E25" authorId="0" shapeId="0">
      <text>
        <t>Hämtas från Inmatning. Skriv över cellen manuellt om denna månad ska avvika.</t>
      </text>
    </comment>
    <comment ref="F25" authorId="0" shapeId="0">
      <text>
        <t>Hämtas från Inmatning. Skriv över cellen manuellt om denna månad ska avvika.</t>
      </text>
    </comment>
    <comment ref="G25" authorId="0" shapeId="0">
      <text>
        <t>Hämtas från Inmatning. Skriv över cellen manuellt om denna månad ska avvika.</t>
      </text>
    </comment>
    <comment ref="H25" authorId="0" shapeId="0">
      <text>
        <t>Hämtas från Inmatning. Skriv över cellen manuellt om denna månad ska avvika.</t>
      </text>
    </comment>
    <comment ref="I25" authorId="0" shapeId="0">
      <text>
        <t>Hämtas från Inmatning. Skriv över cellen manuellt om denna månad ska avvika.</t>
      </text>
    </comment>
    <comment ref="B27" authorId="0" shapeId="0">
      <text>
        <t>Hämtas från personens pensionssats i Inmatning. Skriv över manuellt vid månadsavvikelse.</t>
      </text>
    </comment>
    <comment ref="C27" authorId="0" shapeId="0">
      <text>
        <t>Hämtas från personens pensionssats i Inmatning. Skriv över manuellt vid månadsavvikelse.</t>
      </text>
    </comment>
    <comment ref="D27" authorId="0" shapeId="0">
      <text>
        <t>Hämtas från personens pensionssats i Inmatning. Skriv över manuellt vid månadsavvikelse.</t>
      </text>
    </comment>
    <comment ref="E27" authorId="0" shapeId="0">
      <text>
        <t>Hämtas från personens pensionssats i Inmatning. Skriv över manuellt vid månadsavvikelse.</t>
      </text>
    </comment>
    <comment ref="F27" authorId="0" shapeId="0">
      <text>
        <t>Hämtas från personens pensionssats i Inmatning. Skriv över manuellt vid månadsavvikelse.</t>
      </text>
    </comment>
    <comment ref="G27" authorId="0" shapeId="0">
      <text>
        <t>Hämtas från personens pensionssats i Inmatning. Skriv över manuellt vid månadsavvikelse.</t>
      </text>
    </comment>
    <comment ref="H27" authorId="0" shapeId="0">
      <text>
        <t>Hämtas från personens pensionssats i Inmatning. Skriv över manuellt vid månadsavvikelse.</t>
      </text>
    </comment>
    <comment ref="I27" authorId="0" shapeId="0">
      <text>
        <t>Hämtas från personens pensionssats i Inmatning. Skriv över manuellt vid månadsavvikelse.</t>
      </text>
    </comment>
    <comment ref="B32" authorId="0" shapeId="0">
      <text>
        <t>Hämtas från Inmatning. Skriv över cellen manuellt om denna månad ska avvika.</t>
      </text>
    </comment>
    <comment ref="C32" authorId="0" shapeId="0">
      <text>
        <t>Hämtas från Inmatning. Skriv över cellen manuellt om denna månad ska avvika.</t>
      </text>
    </comment>
    <comment ref="D32" authorId="0" shapeId="0">
      <text>
        <t>Hämtas från Inmatning. Skriv över cellen manuellt om denna månad ska avvika.</t>
      </text>
    </comment>
    <comment ref="E32" authorId="0" shapeId="0">
      <text>
        <t>Hämtas från Inmatning. Skriv över cellen manuellt om denna månad ska avvika.</t>
      </text>
    </comment>
    <comment ref="F32" authorId="0" shapeId="0">
      <text>
        <t>Hämtas från Inmatning. Skriv över cellen manuellt om denna månad ska avvika.</t>
      </text>
    </comment>
    <comment ref="G32" authorId="0" shapeId="0">
      <text>
        <t>Hämtas från Inmatning. Skriv över cellen manuellt om denna månad ska avvika.</t>
      </text>
    </comment>
    <comment ref="H32" authorId="0" shapeId="0">
      <text>
        <t>Hämtas från Inmatning. Skriv över cellen manuellt om denna månad ska avvika.</t>
      </text>
    </comment>
    <comment ref="I32" authorId="0" shapeId="0">
      <text>
        <t>Hämtas från Inmatning. Skriv över cellen manuellt om denna månad ska avvika.</t>
      </text>
    </comment>
    <comment ref="B34" authorId="0" shapeId="0">
      <text>
        <t>Hämtas från personens pensionssats i Inmatning. Skriv över manuellt vid månadsavvikelse.</t>
      </text>
    </comment>
    <comment ref="C34" authorId="0" shapeId="0">
      <text>
        <t>Hämtas från personens pensionssats i Inmatning. Skriv över manuellt vid månadsavvikelse.</t>
      </text>
    </comment>
    <comment ref="D34" authorId="0" shapeId="0">
      <text>
        <t>Hämtas från personens pensionssats i Inmatning. Skriv över manuellt vid månadsavvikelse.</t>
      </text>
    </comment>
    <comment ref="E34" authorId="0" shapeId="0">
      <text>
        <t>Hämtas från personens pensionssats i Inmatning. Skriv över manuellt vid månadsavvikelse.</t>
      </text>
    </comment>
    <comment ref="F34" authorId="0" shapeId="0">
      <text>
        <t>Hämtas från personens pensionssats i Inmatning. Skriv över manuellt vid månadsavvikelse.</t>
      </text>
    </comment>
    <comment ref="G34" authorId="0" shapeId="0">
      <text>
        <t>Hämtas från personens pensionssats i Inmatning. Skriv över manuellt vid månadsavvikelse.</t>
      </text>
    </comment>
    <comment ref="H34" authorId="0" shapeId="0">
      <text>
        <t>Hämtas från personens pensionssats i Inmatning. Skriv över manuellt vid månadsavvikelse.</t>
      </text>
    </comment>
    <comment ref="I34" authorId="0" shapeId="0">
      <text>
        <t>Hämtas från personens pensionssats i Inmatning. Skriv över manuellt vid månadsavvikelse.</t>
      </text>
    </comment>
    <comment ref="B39" authorId="0" shapeId="0">
      <text>
        <t>Hämtas från Inmatning. Skriv över cellen manuellt om denna månad ska avvika.</t>
      </text>
    </comment>
    <comment ref="C39" authorId="0" shapeId="0">
      <text>
        <t>Hämtas från Inmatning. Skriv över cellen manuellt om denna månad ska avvika.</t>
      </text>
    </comment>
    <comment ref="D39" authorId="0" shapeId="0">
      <text>
        <t>Hämtas från Inmatning. Skriv över cellen manuellt om denna månad ska avvika.</t>
      </text>
    </comment>
    <comment ref="E39" authorId="0" shapeId="0">
      <text>
        <t>Hämtas från Inmatning. Skriv över cellen manuellt om denna månad ska avvika.</t>
      </text>
    </comment>
    <comment ref="F39" authorId="0" shapeId="0">
      <text>
        <t>Hämtas från Inmatning. Skriv över cellen manuellt om denna månad ska avvika.</t>
      </text>
    </comment>
    <comment ref="G39" authorId="0" shapeId="0">
      <text>
        <t>Hämtas från Inmatning. Skriv över cellen manuellt om denna månad ska avvika.</t>
      </text>
    </comment>
    <comment ref="H39" authorId="0" shapeId="0">
      <text>
        <t>Hämtas från Inmatning. Skriv över cellen manuellt om denna månad ska avvika.</t>
      </text>
    </comment>
    <comment ref="I39" authorId="0" shapeId="0">
      <text>
        <t>Hämtas från Inmatning. Skriv över cellen manuellt om denna månad ska avvika.</t>
      </text>
    </comment>
    <comment ref="B41" authorId="0" shapeId="0">
      <text>
        <t>Hämtas från personens pensionssats i Inmatning. Skriv över manuellt vid månadsavvikelse.</t>
      </text>
    </comment>
    <comment ref="C41" authorId="0" shapeId="0">
      <text>
        <t>Hämtas från personens pensionssats i Inmatning. Skriv över manuellt vid månadsavvikelse.</t>
      </text>
    </comment>
    <comment ref="D41" authorId="0" shapeId="0">
      <text>
        <t>Hämtas från personens pensionssats i Inmatning. Skriv över manuellt vid månadsavvikelse.</t>
      </text>
    </comment>
    <comment ref="E41" authorId="0" shapeId="0">
      <text>
        <t>Hämtas från personens pensionssats i Inmatning. Skriv över manuellt vid månadsavvikelse.</t>
      </text>
    </comment>
    <comment ref="F41" authorId="0" shapeId="0">
      <text>
        <t>Hämtas från personens pensionssats i Inmatning. Skriv över manuellt vid månadsavvikelse.</t>
      </text>
    </comment>
    <comment ref="G41" authorId="0" shapeId="0">
      <text>
        <t>Hämtas från personens pensionssats i Inmatning. Skriv över manuellt vid månadsavvikelse.</t>
      </text>
    </comment>
    <comment ref="H41" authorId="0" shapeId="0">
      <text>
        <t>Hämtas från personens pensionssats i Inmatning. Skriv över manuellt vid månadsavvikelse.</t>
      </text>
    </comment>
    <comment ref="I41" authorId="0" shapeId="0">
      <text>
        <t>Hämtas från personens pensionssats i Inmatning. Skriv över manuellt vid månadsavvikelse.</t>
      </text>
    </comment>
    <comment ref="B46" authorId="0" shapeId="0">
      <text>
        <t>Hämtas från Inmatning. Skriv över cellen manuellt om denna månad ska avvika.</t>
      </text>
    </comment>
    <comment ref="C46" authorId="0" shapeId="0">
      <text>
        <t>Hämtas från Inmatning. Skriv över cellen manuellt om denna månad ska avvika.</t>
      </text>
    </comment>
    <comment ref="D46" authorId="0" shapeId="0">
      <text>
        <t>Hämtas från Inmatning. Skriv över cellen manuellt om denna månad ska avvika.</t>
      </text>
    </comment>
    <comment ref="E46" authorId="0" shapeId="0">
      <text>
        <t>Hämtas från Inmatning. Skriv över cellen manuellt om denna månad ska avvika.</t>
      </text>
    </comment>
    <comment ref="F46" authorId="0" shapeId="0">
      <text>
        <t>Hämtas från Inmatning. Skriv över cellen manuellt om denna månad ska avvika.</t>
      </text>
    </comment>
    <comment ref="G46" authorId="0" shapeId="0">
      <text>
        <t>Hämtas från Inmatning. Skriv över cellen manuellt om denna månad ska avvika.</t>
      </text>
    </comment>
    <comment ref="H46" authorId="0" shapeId="0">
      <text>
        <t>Hämtas från Inmatning. Skriv över cellen manuellt om denna månad ska avvika.</t>
      </text>
    </comment>
    <comment ref="I46" authorId="0" shapeId="0">
      <text>
        <t>Hämtas från Inmatning. Skriv över cellen manuellt om denna månad ska avvika.</t>
      </text>
    </comment>
    <comment ref="B48" authorId="0" shapeId="0">
      <text>
        <t>Hämtas från personens pensionssats i Inmatning. Skriv över manuellt vid månadsavvikelse.</t>
      </text>
    </comment>
    <comment ref="C48" authorId="0" shapeId="0">
      <text>
        <t>Hämtas från personens pensionssats i Inmatning. Skriv över manuellt vid månadsavvikelse.</t>
      </text>
    </comment>
    <comment ref="D48" authorId="0" shapeId="0">
      <text>
        <t>Hämtas från personens pensionssats i Inmatning. Skriv över manuellt vid månadsavvikelse.</t>
      </text>
    </comment>
    <comment ref="E48" authorId="0" shapeId="0">
      <text>
        <t>Hämtas från personens pensionssats i Inmatning. Skriv över manuellt vid månadsavvikelse.</t>
      </text>
    </comment>
    <comment ref="F48" authorId="0" shapeId="0">
      <text>
        <t>Hämtas från personens pensionssats i Inmatning. Skriv över manuellt vid månadsavvikelse.</t>
      </text>
    </comment>
    <comment ref="G48" authorId="0" shapeId="0">
      <text>
        <t>Hämtas från personens pensionssats i Inmatning. Skriv över manuellt vid månadsavvikelse.</t>
      </text>
    </comment>
    <comment ref="H48" authorId="0" shapeId="0">
      <text>
        <t>Hämtas från personens pensionssats i Inmatning. Skriv över manuellt vid månadsavvikelse.</t>
      </text>
    </comment>
    <comment ref="I48" authorId="0" shapeId="0">
      <text>
        <t>Hämtas från personens pensionssats i Inmatning. Skriv över manuellt vid månadsavvikelse.</t>
      </text>
    </comment>
    <comment ref="B53" authorId="0" shapeId="0">
      <text>
        <t>Hämtas från Inmatning. Skriv över cellen manuellt om denna månad ska avvika.</t>
      </text>
    </comment>
    <comment ref="C53" authorId="0" shapeId="0">
      <text>
        <t>Hämtas från Inmatning. Skriv över cellen manuellt om denna månad ska avvika.</t>
      </text>
    </comment>
    <comment ref="D53" authorId="0" shapeId="0">
      <text>
        <t>Hämtas från Inmatning. Skriv över cellen manuellt om denna månad ska avvika.</t>
      </text>
    </comment>
    <comment ref="E53" authorId="0" shapeId="0">
      <text>
        <t>Hämtas från Inmatning. Skriv över cellen manuellt om denna månad ska avvika.</t>
      </text>
    </comment>
    <comment ref="F53" authorId="0" shapeId="0">
      <text>
        <t>Hämtas från Inmatning. Skriv över cellen manuellt om denna månad ska avvika.</t>
      </text>
    </comment>
    <comment ref="G53" authorId="0" shapeId="0">
      <text>
        <t>Hämtas från Inmatning. Skriv över cellen manuellt om denna månad ska avvika.</t>
      </text>
    </comment>
    <comment ref="H53" authorId="0" shapeId="0">
      <text>
        <t>Hämtas från Inmatning. Skriv över cellen manuellt om denna månad ska avvika.</t>
      </text>
    </comment>
    <comment ref="I53" authorId="0" shapeId="0">
      <text>
        <t>Hämtas från Inmatning. Skriv över cellen manuellt om denna månad ska avvika.</t>
      </text>
    </comment>
    <comment ref="B55" authorId="0" shapeId="0">
      <text>
        <t>Hämtas från personens pensionssats i Inmatning. Skriv över manuellt vid månadsavvikelse.</t>
      </text>
    </comment>
    <comment ref="C55" authorId="0" shapeId="0">
      <text>
        <t>Hämtas från personens pensionssats i Inmatning. Skriv över manuellt vid månadsavvikelse.</t>
      </text>
    </comment>
    <comment ref="D55" authorId="0" shapeId="0">
      <text>
        <t>Hämtas från personens pensionssats i Inmatning. Skriv över manuellt vid månadsavvikelse.</t>
      </text>
    </comment>
    <comment ref="E55" authorId="0" shapeId="0">
      <text>
        <t>Hämtas från personens pensionssats i Inmatning. Skriv över manuellt vid månadsavvikelse.</t>
      </text>
    </comment>
    <comment ref="F55" authorId="0" shapeId="0">
      <text>
        <t>Hämtas från personens pensionssats i Inmatning. Skriv över manuellt vid månadsavvikelse.</t>
      </text>
    </comment>
    <comment ref="G55" authorId="0" shapeId="0">
      <text>
        <t>Hämtas från personens pensionssats i Inmatning. Skriv över manuellt vid månadsavvikelse.</t>
      </text>
    </comment>
    <comment ref="H55" authorId="0" shapeId="0">
      <text>
        <t>Hämtas från personens pensionssats i Inmatning. Skriv över manuellt vid månadsavvikelse.</t>
      </text>
    </comment>
    <comment ref="I55" authorId="0" shapeId="0">
      <text>
        <t>Hämtas från personens pensionssats i Inmatning. Skriv över manuellt vid månadsavvikelse.</t>
      </text>
    </comment>
    <comment ref="B60" authorId="0" shapeId="0">
      <text>
        <t>Hämtas från Inmatning. Skriv över cellen manuellt om denna månad ska avvika.</t>
      </text>
    </comment>
    <comment ref="C60" authorId="0" shapeId="0">
      <text>
        <t>Hämtas från Inmatning. Skriv över cellen manuellt om denna månad ska avvika.</t>
      </text>
    </comment>
    <comment ref="D60" authorId="0" shapeId="0">
      <text>
        <t>Hämtas från Inmatning. Skriv över cellen manuellt om denna månad ska avvika.</t>
      </text>
    </comment>
    <comment ref="E60" authorId="0" shapeId="0">
      <text>
        <t>Hämtas från Inmatning. Skriv över cellen manuellt om denna månad ska avvika.</t>
      </text>
    </comment>
    <comment ref="F60" authorId="0" shapeId="0">
      <text>
        <t>Hämtas från Inmatning. Skriv över cellen manuellt om denna månad ska avvika.</t>
      </text>
    </comment>
    <comment ref="G60" authorId="0" shapeId="0">
      <text>
        <t>Hämtas från Inmatning. Skriv över cellen manuellt om denna månad ska avvika.</t>
      </text>
    </comment>
    <comment ref="H60" authorId="0" shapeId="0">
      <text>
        <t>Hämtas från Inmatning. Skriv över cellen manuellt om denna månad ska avvika.</t>
      </text>
    </comment>
    <comment ref="I60" authorId="0" shapeId="0">
      <text>
        <t>Hämtas från Inmatning. Skriv över cellen manuellt om denna månad ska avvika.</t>
      </text>
    </comment>
    <comment ref="B62" authorId="0" shapeId="0">
      <text>
        <t>Hämtas från personens pensionssats i Inmatning. Skriv över manuellt vid månadsavvikelse.</t>
      </text>
    </comment>
    <comment ref="C62" authorId="0" shapeId="0">
      <text>
        <t>Hämtas från personens pensionssats i Inmatning. Skriv över manuellt vid månadsavvikelse.</t>
      </text>
    </comment>
    <comment ref="D62" authorId="0" shapeId="0">
      <text>
        <t>Hämtas från personens pensionssats i Inmatning. Skriv över manuellt vid månadsavvikelse.</t>
      </text>
    </comment>
    <comment ref="E62" authorId="0" shapeId="0">
      <text>
        <t>Hämtas från personens pensionssats i Inmatning. Skriv över manuellt vid månadsavvikelse.</t>
      </text>
    </comment>
    <comment ref="F62" authorId="0" shapeId="0">
      <text>
        <t>Hämtas från personens pensionssats i Inmatning. Skriv över manuellt vid månadsavvikelse.</t>
      </text>
    </comment>
    <comment ref="G62" authorId="0" shapeId="0">
      <text>
        <t>Hämtas från personens pensionssats i Inmatning. Skriv över manuellt vid månadsavvikelse.</t>
      </text>
    </comment>
    <comment ref="H62" authorId="0" shapeId="0">
      <text>
        <t>Hämtas från personens pensionssats i Inmatning. Skriv över manuellt vid månadsavvikelse.</t>
      </text>
    </comment>
    <comment ref="I62" authorId="0" shapeId="0">
      <text>
        <t>Hämtas från personens pensionssats i Inmatning. Skriv över manuellt vid månadsavvikelse.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104</row>
      <rowOff>175326</rowOff>
    </from>
    <to>
      <col>10</col>
      <colOff>373190</colOff>
      <row>121</row>
      <rowOff>117621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NORC budget">
  <a:themeElements>
    <a:clrScheme name="NORC budge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F5D62"/>
      </a:accent1>
      <a:accent2>
        <a:srgbClr val="A97035"/>
      </a:accent2>
      <a:accent3>
        <a:srgbClr val="6B7C7A"/>
      </a:accent3>
      <a:accent4>
        <a:srgbClr val="C8D5D2"/>
      </a:accent4>
      <a:accent5>
        <a:srgbClr val="E7EFEA"/>
      </a:accent5>
      <a:accent6>
        <a:srgbClr val="F2E7D5"/>
      </a:accent6>
      <a:hlink>
        <a:srgbClr val="0000FF"/>
      </a:hlink>
      <a:folHlink>
        <a:srgbClr val="FF00FF"/>
      </a:folHlink>
    </a:clrScheme>
    <a:fontScheme name="NORC budge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NORC budge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111827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111827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16"/>
  <sheetViews>
    <sheetView showGridLines="0" defaultGridColor="1" workbookViewId="0">
      <selection activeCell="A1" sqref="A1"/>
    </sheetView>
  </sheetViews>
  <sheetFormatPr baseColWidth="8" defaultColWidth="10" defaultRowHeight="13" customHeight="1" outlineLevelRow="0"/>
  <cols>
    <col width="2" customWidth="1" style="155" min="1" max="1"/>
    <col width="30.5547" customWidth="1" style="155" min="2" max="4"/>
  </cols>
  <sheetData>
    <row r="3" ht="50" customHeight="1" s="155">
      <c r="B3" s="156" t="inlineStr">
        <is>
          <t>Det här dokumentet exporterades från Numbers. Varje tabell konverterades till ett Excel-kalkylblad. Alla andra objekt på varje kalkylblad i Numbers lades på olika kalkylblad. Var medveten om att formelberäkningar kan bli annorlunda i Excel.</t>
        </is>
      </c>
    </row>
    <row r="7">
      <c r="B7" s="2" t="inlineStr">
        <is>
          <t>Namn på Numbers-blad</t>
        </is>
      </c>
      <c r="C7" s="2" t="inlineStr">
        <is>
          <t>Namn på Numbers-tabell</t>
        </is>
      </c>
      <c r="D7" s="2" t="inlineStr">
        <is>
          <t>Namn på Excel-kalkylblad</t>
        </is>
      </c>
    </row>
    <row r="9">
      <c r="B9" s="3" t="inlineStr">
        <is>
          <t>Budget maj-dec 2026</t>
        </is>
      </c>
      <c r="C9" s="3" t="n"/>
      <c r="D9" s="3" t="n"/>
    </row>
    <row r="10">
      <c r="B10" s="4" t="n"/>
      <c r="C10" s="4" t="inlineStr">
        <is>
          <t>Tabell 1</t>
        </is>
      </c>
      <c r="D10" s="5" t="inlineStr">
        <is>
          <t>Budget maj-dec 2026</t>
        </is>
      </c>
    </row>
    <row r="11">
      <c r="B11" s="3" t="inlineStr">
        <is>
          <t>Inmatning</t>
        </is>
      </c>
      <c r="C11" s="3" t="n"/>
      <c r="D11" s="3" t="n"/>
    </row>
    <row r="12">
      <c r="B12" s="4" t="n"/>
      <c r="C12" s="4" t="inlineStr">
        <is>
          <t>Tabell 1</t>
        </is>
      </c>
      <c r="D12" s="5" t="inlineStr">
        <is>
          <t>Inmatning</t>
        </is>
      </c>
    </row>
    <row r="13">
      <c r="B13" s="3" t="inlineStr">
        <is>
          <t>Resultat</t>
        </is>
      </c>
      <c r="C13" s="3" t="n"/>
      <c r="D13" s="3" t="n"/>
    </row>
    <row r="14">
      <c r="B14" s="4" t="n"/>
      <c r="C14" s="4" t="inlineStr">
        <is>
          <t>Tabell 1</t>
        </is>
      </c>
      <c r="D14" s="5" t="inlineStr">
        <is>
          <t>Resultat</t>
        </is>
      </c>
    </row>
    <row r="15">
      <c r="B15" s="3" t="inlineStr">
        <is>
          <t>Hjälptabell</t>
        </is>
      </c>
      <c r="C15" s="3" t="n"/>
      <c r="D15" s="3" t="n"/>
    </row>
    <row r="16">
      <c r="B16" s="4" t="n"/>
      <c r="C16" s="4" t="inlineStr">
        <is>
          <t>Tabell 1</t>
        </is>
      </c>
      <c r="D16" s="5" t="inlineStr">
        <is>
          <t>Hjälptabell</t>
        </is>
      </c>
    </row>
  </sheetData>
  <mergeCells count="1">
    <mergeCell ref="B3:D3"/>
  </mergeCells>
  <hyperlinks>
    <hyperlink ref="D10" location="'Budget maj-dec 2026'!R1C1" tooltip="" display="Budget maj-dec 2026"/>
    <hyperlink ref="D12" location="'Inmatning'!R1C1" tooltip="" display="Inmatning"/>
    <hyperlink ref="D14" location="'Resultat'!R1C1" tooltip="" display="Resultat"/>
    <hyperlink ref="D16" location="'Hjälptabell'!R1C1" tooltip="" display="Hjälptabell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32.1719" customWidth="1" style="153" min="1" max="1"/>
    <col width="12.5" customWidth="1" style="153" min="2" max="9"/>
    <col width="13.5" customWidth="1" style="153" min="10" max="10"/>
    <col width="37.1719" customWidth="1" style="153" min="11" max="11"/>
    <col width="13" customWidth="1" style="153" min="12" max="16"/>
    <col width="8.851559999999999" customWidth="1" style="153" min="17" max="16384"/>
  </cols>
  <sheetData>
    <row r="1" ht="26" customHeight="1" s="155">
      <c r="A1" s="157" t="inlineStr">
        <is>
          <t>NORC budget maj–december 2026</t>
        </is>
      </c>
      <c r="B1" s="158" t="n"/>
      <c r="C1" s="158" t="n"/>
      <c r="D1" s="158" t="n"/>
      <c r="E1" s="158" t="n"/>
      <c r="F1" s="158" t="n"/>
      <c r="G1" s="158" t="n"/>
      <c r="H1" s="158" t="n"/>
      <c r="I1" s="158" t="n"/>
      <c r="J1" s="158" t="n"/>
      <c r="K1" s="158" t="n"/>
      <c r="L1" s="11" t="n"/>
      <c r="M1" s="8" t="n"/>
      <c r="N1" s="142" t="n"/>
      <c r="O1" s="142" t="n"/>
      <c r="P1" s="142" t="n"/>
    </row>
    <row r="2" ht="36" customHeight="1" s="155">
      <c r="A2" s="12" t="inlineStr">
        <is>
          <t>Månadsbudget med intäkter, personalkostnader uppdelade på lön, arbetsgivaravgift, tjänstepension och försäkring, samt övriga kostnader. Procentsatser kan justeras per månad.</t>
        </is>
      </c>
      <c r="L2" s="16" t="n"/>
      <c r="M2" s="8" t="n"/>
      <c r="N2" s="142" t="n"/>
      <c r="O2" s="142" t="n"/>
      <c r="P2" s="142" t="n"/>
    </row>
    <row r="3" ht="15" customHeight="1" s="155">
      <c r="A3" s="17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9" t="n"/>
      <c r="L3" s="16" t="n"/>
      <c r="M3" s="8" t="n"/>
      <c r="N3" s="142" t="n"/>
      <c r="O3" s="142" t="n"/>
      <c r="P3" s="142" t="n"/>
    </row>
    <row r="4" ht="22" customHeight="1" s="155">
      <c r="A4" s="20" t="inlineStr">
        <is>
          <t>Post</t>
        </is>
      </c>
      <c r="B4" s="21" t="inlineStr">
        <is>
          <t>Maj</t>
        </is>
      </c>
      <c r="C4" s="21" t="inlineStr">
        <is>
          <t>Juni</t>
        </is>
      </c>
      <c r="D4" s="21" t="inlineStr">
        <is>
          <t>Juli</t>
        </is>
      </c>
      <c r="E4" s="21" t="inlineStr">
        <is>
          <t>Augusti</t>
        </is>
      </c>
      <c r="F4" s="21" t="inlineStr">
        <is>
          <t>September</t>
        </is>
      </c>
      <c r="G4" s="21" t="inlineStr">
        <is>
          <t>Oktober</t>
        </is>
      </c>
      <c r="H4" s="21" t="inlineStr">
        <is>
          <t>November</t>
        </is>
      </c>
      <c r="I4" s="21" t="inlineStr">
        <is>
          <t>December</t>
        </is>
      </c>
      <c r="J4" s="22" t="inlineStr">
        <is>
          <t>Totalt</t>
        </is>
      </c>
      <c r="K4" s="23" t="inlineStr">
        <is>
          <t>Kommentar</t>
        </is>
      </c>
      <c r="L4" s="24" t="n"/>
      <c r="M4" s="8" t="n"/>
      <c r="N4" s="142" t="n"/>
      <c r="O4" s="142" t="n"/>
      <c r="P4" s="142" t="n"/>
    </row>
    <row r="5" ht="22" customHeight="1" s="155">
      <c r="A5" s="25" t="inlineStr">
        <is>
          <t>INTÄKTER</t>
        </is>
      </c>
      <c r="B5" s="26" t="n"/>
      <c r="C5" s="26" t="n"/>
      <c r="D5" s="26" t="n"/>
      <c r="E5" s="26" t="n"/>
      <c r="F5" s="26" t="n"/>
      <c r="G5" s="26" t="n"/>
      <c r="H5" s="26" t="n"/>
      <c r="I5" s="26" t="n"/>
      <c r="J5" s="27" t="n"/>
      <c r="K5" s="28" t="n"/>
      <c r="L5" s="29" t="n"/>
      <c r="M5" s="8" t="n"/>
      <c r="N5" s="142" t="n"/>
      <c r="O5" s="142" t="n"/>
      <c r="P5" s="30" t="n"/>
    </row>
    <row r="6" ht="15" customHeight="1" s="155">
      <c r="A6" s="31" t="inlineStr">
        <is>
          <t>SafeSpring</t>
        </is>
      </c>
      <c r="B6" s="159" t="n">
        <v>226000</v>
      </c>
      <c r="C6" s="159" t="n">
        <v>226000</v>
      </c>
      <c r="D6" s="159" t="n">
        <v>0</v>
      </c>
      <c r="E6" s="159" t="n">
        <v>226000</v>
      </c>
      <c r="F6" s="159" t="n">
        <v>226000</v>
      </c>
      <c r="G6" s="159" t="n">
        <v>226000</v>
      </c>
      <c r="H6" s="159" t="n">
        <v>226000</v>
      </c>
      <c r="I6" s="159" t="n">
        <v>226000</v>
      </c>
      <c r="J6" s="159">
        <f t="array" ref="J6">SUM(B6:I6)</f>
        <v/>
      </c>
      <c r="K6" s="33" t="inlineStr">
        <is>
          <t>Förifylld enligt instruktion: 250 000 kr/mån</t>
        </is>
      </c>
      <c r="L6" s="16" t="n"/>
      <c r="M6" s="8" t="n"/>
      <c r="N6" s="142" t="n"/>
      <c r="O6" s="10" t="n"/>
      <c r="P6" s="159" t="n"/>
    </row>
    <row r="7" ht="15" customHeight="1" s="155">
      <c r="A7" s="31" t="inlineStr">
        <is>
          <t>Accure</t>
        </is>
      </c>
      <c r="B7" s="159" t="n">
        <v>0</v>
      </c>
      <c r="C7" s="159" t="n">
        <v>40000</v>
      </c>
      <c r="D7" s="159" t="n">
        <v>0</v>
      </c>
      <c r="E7" s="159" t="n">
        <v>40000</v>
      </c>
      <c r="F7" s="159" t="n">
        <v>40000</v>
      </c>
      <c r="G7" s="159" t="n">
        <v>40000</v>
      </c>
      <c r="H7" s="159" t="n">
        <v>40000</v>
      </c>
      <c r="I7" s="159" t="n">
        <v>40000</v>
      </c>
      <c r="J7" s="159">
        <f t="array" ref="J7">SUM(B7:I7)</f>
        <v/>
      </c>
      <c r="K7" s="33" t="inlineStr">
        <is>
          <t>Förifylld enligt instruktion: 40 000 kr/mån</t>
        </is>
      </c>
      <c r="L7" s="16" t="n"/>
      <c r="M7" s="8" t="n"/>
      <c r="N7" s="142" t="n"/>
      <c r="O7" s="142" t="n"/>
      <c r="P7" s="34" t="n"/>
    </row>
    <row r="8" ht="15" customHeight="1" s="155">
      <c r="A8" s="31" t="inlineStr">
        <is>
          <t>Team Neusta</t>
        </is>
      </c>
      <c r="B8" s="159" t="n">
        <v>0</v>
      </c>
      <c r="C8" s="159" t="n">
        <v>0</v>
      </c>
      <c r="D8" s="159" t="n">
        <v>0</v>
      </c>
      <c r="E8" s="159" t="n">
        <v>0</v>
      </c>
      <c r="F8" s="159" t="n">
        <v>0</v>
      </c>
      <c r="G8" s="159" t="n">
        <v>0</v>
      </c>
      <c r="H8" s="159" t="n">
        <v>0</v>
      </c>
      <c r="I8" s="159" t="n">
        <v>0</v>
      </c>
      <c r="J8" s="159">
        <f t="array" ref="J8">SUM(B8:I8)</f>
        <v/>
      </c>
      <c r="K8" s="33" t="inlineStr">
        <is>
          <t>Fyll i månadsvärden vid behov</t>
        </is>
      </c>
      <c r="L8" s="16" t="n"/>
      <c r="M8" s="8" t="n"/>
      <c r="N8" s="142" t="n"/>
      <c r="O8" s="142" t="n"/>
      <c r="P8" s="142" t="n"/>
    </row>
    <row r="9" ht="15" customHeight="1" s="155">
      <c r="A9" s="31" t="inlineStr">
        <is>
          <t>Volvo Energy</t>
        </is>
      </c>
      <c r="B9" s="159" t="n">
        <v>0</v>
      </c>
      <c r="C9" s="159" t="n">
        <v>0</v>
      </c>
      <c r="D9" s="159" t="n">
        <v>0</v>
      </c>
      <c r="E9" s="159" t="n">
        <v>0</v>
      </c>
      <c r="F9" s="159" t="n">
        <v>0</v>
      </c>
      <c r="G9" s="159" t="n">
        <v>0</v>
      </c>
      <c r="H9" s="159" t="n">
        <v>0</v>
      </c>
      <c r="I9" s="159" t="n">
        <v>0</v>
      </c>
      <c r="J9" s="159">
        <f t="array" ref="J9">SUM(B9:I9)</f>
        <v/>
      </c>
      <c r="K9" s="33" t="inlineStr">
        <is>
          <t>Fyll i månadsvärden vid behov</t>
        </is>
      </c>
      <c r="L9" s="16" t="n"/>
      <c r="M9" s="8" t="n"/>
      <c r="N9" s="142" t="n"/>
      <c r="O9" s="142" t="n"/>
      <c r="P9" s="142" t="n"/>
    </row>
    <row r="10" ht="15" customHeight="1" s="155">
      <c r="A10" s="31" t="inlineStr">
        <is>
          <t>Buddy Energy</t>
        </is>
      </c>
      <c r="B10" s="159" t="n">
        <v>0</v>
      </c>
      <c r="C10" s="159" t="n">
        <v>0</v>
      </c>
      <c r="D10" s="159" t="n">
        <v>0</v>
      </c>
      <c r="E10" s="159" t="n">
        <v>0</v>
      </c>
      <c r="F10" s="159" t="n">
        <v>0</v>
      </c>
      <c r="G10" s="159" t="n">
        <v>0</v>
      </c>
      <c r="H10" s="159" t="n">
        <v>0</v>
      </c>
      <c r="I10" s="159" t="n">
        <v>0</v>
      </c>
      <c r="J10" s="159">
        <f t="array" ref="J10">SUM(B10:I10)</f>
        <v/>
      </c>
      <c r="K10" s="33" t="inlineStr">
        <is>
          <t>Fyll i månadsvärden vid behov</t>
        </is>
      </c>
      <c r="L10" s="16" t="n"/>
      <c r="M10" s="8" t="n"/>
      <c r="N10" s="142" t="n"/>
      <c r="O10" s="142" t="n"/>
      <c r="P10" s="142" t="n"/>
    </row>
    <row r="11" ht="15" customHeight="1" s="155">
      <c r="A11" s="31" t="inlineStr">
        <is>
          <t>Gausta</t>
        </is>
      </c>
      <c r="B11" s="159" t="n">
        <v>0</v>
      </c>
      <c r="C11" s="159" t="n">
        <v>0</v>
      </c>
      <c r="D11" s="159" t="n">
        <v>0</v>
      </c>
      <c r="E11" s="159" t="n">
        <v>0</v>
      </c>
      <c r="F11" s="159" t="n">
        <v>0</v>
      </c>
      <c r="G11" s="159" t="n">
        <v>0</v>
      </c>
      <c r="H11" s="159" t="n">
        <v>0</v>
      </c>
      <c r="I11" s="159" t="n">
        <v>0</v>
      </c>
      <c r="J11" s="159">
        <f t="array" ref="J11">SUM(B11:I11)</f>
        <v/>
      </c>
      <c r="K11" s="33" t="inlineStr">
        <is>
          <t>Fyll i månadsvärden vid behov</t>
        </is>
      </c>
      <c r="L11" s="16" t="n"/>
      <c r="M11" s="8" t="n"/>
      <c r="N11" s="142" t="n"/>
      <c r="O11" s="142" t="n"/>
      <c r="P11" s="142" t="n"/>
    </row>
    <row r="12" ht="15" customHeight="1" s="155">
      <c r="A12" s="31" t="inlineStr">
        <is>
          <t>Raoul</t>
        </is>
      </c>
      <c r="B12" s="159" t="n">
        <v>0</v>
      </c>
      <c r="C12" s="159" t="n">
        <v>0</v>
      </c>
      <c r="D12" s="159" t="n">
        <v>0</v>
      </c>
      <c r="E12" s="159" t="n">
        <v>0</v>
      </c>
      <c r="F12" s="159" t="n">
        <v>0</v>
      </c>
      <c r="G12" s="159" t="n">
        <v>0</v>
      </c>
      <c r="H12" s="159" t="n">
        <v>0</v>
      </c>
      <c r="I12" s="159" t="n">
        <v>0</v>
      </c>
      <c r="J12" s="159">
        <f t="array" ref="J12">SUM(B12:I12)</f>
        <v/>
      </c>
      <c r="K12" s="33" t="inlineStr">
        <is>
          <t>Fyll i månadsvärden vid behov</t>
        </is>
      </c>
      <c r="L12" s="16" t="n"/>
      <c r="M12" s="8" t="n"/>
      <c r="N12" s="142" t="n"/>
      <c r="O12" s="142" t="n"/>
      <c r="P12" s="142" t="n"/>
    </row>
    <row r="13" ht="15" customHeight="1" s="155">
      <c r="A13" s="31" t="inlineStr">
        <is>
          <t>MedChain</t>
        </is>
      </c>
      <c r="B13" s="159" t="n">
        <v>50000</v>
      </c>
      <c r="C13" s="159" t="n">
        <v>50000</v>
      </c>
      <c r="D13" s="159" t="n">
        <v>50000</v>
      </c>
      <c r="E13" s="159" t="n">
        <v>50000</v>
      </c>
      <c r="F13" s="159" t="n">
        <v>50000</v>
      </c>
      <c r="G13" s="159" t="n">
        <v>50000</v>
      </c>
      <c r="H13" s="159" t="n">
        <v>50000</v>
      </c>
      <c r="I13" s="159" t="n">
        <v>50000</v>
      </c>
      <c r="J13" s="159">
        <f t="array" ref="J13">SUM(B13:I13)</f>
        <v/>
      </c>
      <c r="K13" s="33" t="inlineStr">
        <is>
          <t>Förifylld enligt instruktion: 50 000 kr/mån</t>
        </is>
      </c>
      <c r="L13" s="16" t="n"/>
      <c r="M13" s="8" t="n"/>
      <c r="N13" s="142" t="n"/>
      <c r="O13" s="142" t="n"/>
      <c r="P13" s="142" t="n"/>
    </row>
    <row r="14" ht="15" customHeight="1" s="155">
      <c r="A14" s="31" t="inlineStr">
        <is>
          <t>Internetmedicin</t>
        </is>
      </c>
      <c r="B14" s="159" t="n">
        <v>0</v>
      </c>
      <c r="C14" s="159" t="n">
        <v>0</v>
      </c>
      <c r="D14" s="159" t="n">
        <v>0</v>
      </c>
      <c r="E14" s="159" t="n">
        <v>0</v>
      </c>
      <c r="F14" s="159" t="n">
        <v>0</v>
      </c>
      <c r="G14" s="159" t="n">
        <v>0</v>
      </c>
      <c r="H14" s="159" t="n">
        <v>0</v>
      </c>
      <c r="I14" s="159" t="n">
        <v>0</v>
      </c>
      <c r="J14" s="159">
        <f t="array" ref="J14">SUM(B14:I14)</f>
        <v/>
      </c>
      <c r="K14" s="33" t="inlineStr">
        <is>
          <t>Fyll i månadsvärden vid behov</t>
        </is>
      </c>
      <c r="L14" s="16" t="n"/>
      <c r="M14" s="8" t="n"/>
      <c r="N14" s="142" t="n"/>
      <c r="O14" s="142" t="n"/>
      <c r="P14" s="142" t="n"/>
    </row>
    <row r="15" ht="15" customHeight="1" s="155">
      <c r="A15" s="31" t="inlineStr">
        <is>
          <t>Fragus?</t>
        </is>
      </c>
      <c r="B15" s="159" t="n">
        <v>0</v>
      </c>
      <c r="C15" s="159" t="n">
        <v>0</v>
      </c>
      <c r="D15" s="159" t="n">
        <v>0</v>
      </c>
      <c r="E15" s="159" t="n">
        <v>0</v>
      </c>
      <c r="F15" s="159" t="n">
        <v>0</v>
      </c>
      <c r="G15" s="159" t="n">
        <v>0</v>
      </c>
      <c r="H15" s="159" t="n">
        <v>0</v>
      </c>
      <c r="I15" s="159" t="n">
        <v>0</v>
      </c>
      <c r="J15" s="159">
        <f t="array" ref="J15">SUM(B15:I15)</f>
        <v/>
      </c>
      <c r="K15" s="33" t="inlineStr">
        <is>
          <t>Fyll i månadsvärden vid behov</t>
        </is>
      </c>
      <c r="L15" s="16" t="n"/>
      <c r="M15" s="8" t="n"/>
      <c r="N15" s="142" t="n"/>
      <c r="O15" s="142" t="n"/>
      <c r="P15" s="142" t="n"/>
    </row>
    <row r="16" ht="15" customHeight="1" s="155">
      <c r="A16" s="31" t="inlineStr">
        <is>
          <t>Obenämnd kund 3</t>
        </is>
      </c>
      <c r="B16" s="159" t="n">
        <v>0</v>
      </c>
      <c r="C16" s="159" t="n">
        <v>0</v>
      </c>
      <c r="D16" s="159" t="n">
        <v>0</v>
      </c>
      <c r="E16" s="159" t="n">
        <v>0</v>
      </c>
      <c r="F16" s="159" t="n">
        <v>0</v>
      </c>
      <c r="G16" s="159" t="n">
        <v>0</v>
      </c>
      <c r="H16" s="159" t="n">
        <v>0</v>
      </c>
      <c r="I16" s="159" t="n">
        <v>0</v>
      </c>
      <c r="J16" s="159">
        <f t="array" ref="J16">SUM(B16:I16)</f>
        <v/>
      </c>
      <c r="K16" s="33" t="inlineStr">
        <is>
          <t>Fyll i månadsvärden vid behov</t>
        </is>
      </c>
      <c r="L16" s="16" t="n"/>
      <c r="M16" s="8" t="n"/>
      <c r="N16" s="142" t="n"/>
      <c r="O16" s="142" t="n"/>
      <c r="P16" s="142" t="n"/>
    </row>
    <row r="17" ht="22" customHeight="1" s="155">
      <c r="A17" s="35" t="inlineStr">
        <is>
          <t>Summa intäkter</t>
        </is>
      </c>
      <c r="B17" s="160">
        <f t="array" ref="B17">SUM(B6:B16)</f>
        <v/>
      </c>
      <c r="C17" s="160">
        <f t="array" ref="C17">SUM(C6:C16)</f>
        <v/>
      </c>
      <c r="D17" s="160">
        <f t="array" ref="D17">SUM(D6:D16)</f>
        <v/>
      </c>
      <c r="E17" s="160">
        <f t="array" ref="E17">SUM(E6:E16)</f>
        <v/>
      </c>
      <c r="F17" s="160">
        <f t="array" ref="F17">SUM(F6:F16)</f>
        <v/>
      </c>
      <c r="G17" s="160">
        <f t="array" ref="G17">SUM(G6:G16)</f>
        <v/>
      </c>
      <c r="H17" s="160">
        <f t="array" ref="H17">SUM(H6:H16)</f>
        <v/>
      </c>
      <c r="I17" s="160">
        <f t="array" ref="I17">SUM(I6:I16)</f>
        <v/>
      </c>
      <c r="J17" s="160">
        <f t="array" ref="J17">SUM(B17:I17)</f>
        <v/>
      </c>
      <c r="K17" s="37" t="n"/>
      <c r="L17" s="38" t="n"/>
      <c r="M17" s="8" t="n"/>
      <c r="N17" s="142" t="n"/>
      <c r="O17" s="142" t="n"/>
      <c r="P17" s="142" t="n"/>
    </row>
    <row r="18" ht="15" customHeight="1" s="155">
      <c r="A18" s="39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1" t="n"/>
      <c r="L18" s="16" t="n"/>
      <c r="M18" s="8" t="n"/>
      <c r="N18" s="142" t="n"/>
      <c r="O18" s="142" t="n"/>
      <c r="P18" s="142" t="n"/>
    </row>
    <row r="19" ht="22" customHeight="1" s="155">
      <c r="A19" s="25" t="inlineStr">
        <is>
          <t>PERSONALKOSTNADER</t>
        </is>
      </c>
      <c r="B19" s="26" t="n"/>
      <c r="C19" s="26" t="n"/>
      <c r="D19" s="26" t="n"/>
      <c r="E19" s="26" t="n"/>
      <c r="F19" s="26" t="n"/>
      <c r="G19" s="26" t="n"/>
      <c r="H19" s="26" t="n"/>
      <c r="I19" s="26" t="n"/>
      <c r="J19" s="27" t="n"/>
      <c r="K19" s="28" t="n"/>
      <c r="L19" s="29" t="n"/>
      <c r="M19" s="8" t="n"/>
      <c r="N19" s="142" t="n"/>
      <c r="O19" s="142" t="n"/>
      <c r="P19" s="142" t="n"/>
    </row>
    <row r="20" ht="26.85" customHeight="1" s="155">
      <c r="A20" s="42" t="inlineStr">
        <is>
          <t>Arbetsgivaravgift %</t>
        </is>
      </c>
      <c r="B20" s="43">
        <f t="array" ref="B20">'Inmatning'!$B$4</f>
        <v/>
      </c>
      <c r="C20" s="43">
        <f t="array" ref="C20">'Inmatning'!$B$4</f>
        <v/>
      </c>
      <c r="D20" s="43">
        <f t="array" ref="D20">'Inmatning'!$B$4</f>
        <v/>
      </c>
      <c r="E20" s="43">
        <f t="array" ref="E20">'Inmatning'!$B$4</f>
        <v/>
      </c>
      <c r="F20" s="43">
        <f t="array" ref="F20">'Inmatning'!$B$4</f>
        <v/>
      </c>
      <c r="G20" s="43">
        <f t="array" ref="G20">'Inmatning'!$B$4</f>
        <v/>
      </c>
      <c r="H20" s="43">
        <f t="array" ref="H20">'Inmatning'!$B$4</f>
        <v/>
      </c>
      <c r="I20" s="43">
        <f t="array" ref="I20">'Inmatning'!$B$4</f>
        <v/>
      </c>
      <c r="J20" s="43">
        <f t="array" ref="J20">AVERAGE(B20:I20)</f>
        <v/>
      </c>
      <c r="K20" s="44" t="inlineStr">
        <is>
          <t>Central procentsats per månad för arbetsgivaravgift</t>
        </is>
      </c>
      <c r="L20" s="45" t="n"/>
      <c r="M20" s="8" t="n"/>
      <c r="N20" s="142" t="n"/>
      <c r="O20" s="142" t="n"/>
      <c r="P20" s="142" t="n"/>
    </row>
    <row r="21" ht="26.85" customHeight="1" s="155">
      <c r="A21" s="46" t="inlineStr">
        <is>
          <t>Tjänstepension %</t>
        </is>
      </c>
      <c r="B21" s="47">
        <f>AVERAGE('Inmatning'!$C$42:$C$47)</f>
        <v/>
      </c>
      <c r="C21" s="47">
        <f>AVERAGE('Inmatning'!$C$42:$C$47)</f>
        <v/>
      </c>
      <c r="D21" s="47">
        <f>AVERAGE('Inmatning'!$C$42:$C$47)</f>
        <v/>
      </c>
      <c r="E21" s="47">
        <f>AVERAGE('Inmatning'!$C$42:$C$47)</f>
        <v/>
      </c>
      <c r="F21" s="47">
        <f>AVERAGE('Inmatning'!$C$42:$C$47)</f>
        <v/>
      </c>
      <c r="G21" s="47">
        <f>AVERAGE('Inmatning'!$C$42:$C$47)</f>
        <v/>
      </c>
      <c r="H21" s="47">
        <f>AVERAGE('Inmatning'!$C$42:$C$47)</f>
        <v/>
      </c>
      <c r="I21" s="47">
        <f>AVERAGE('Inmatning'!$C$42:$C$47)</f>
        <v/>
      </c>
      <c r="J21" s="47">
        <f>AVERAGE(B21:I21)</f>
        <v/>
      </c>
      <c r="K21" s="48" t="inlineStr">
        <is>
          <t>Genomsnitt av individuella pensionssatser i Inmatning</t>
        </is>
      </c>
      <c r="L21" s="45" t="n"/>
      <c r="M21" s="8" t="n"/>
      <c r="N21" s="142" t="n"/>
      <c r="O21" s="142" t="n"/>
      <c r="P21" s="142" t="n"/>
    </row>
    <row r="22" ht="26.85" customHeight="1" s="155">
      <c r="A22" s="46" t="inlineStr">
        <is>
          <t>Personalförsäkring %</t>
        </is>
      </c>
      <c r="B22" s="47">
        <f t="array" ref="B22">'Inmatning'!$B$6</f>
        <v/>
      </c>
      <c r="C22" s="47">
        <f t="array" ref="C22">'Inmatning'!$B$6</f>
        <v/>
      </c>
      <c r="D22" s="47">
        <f t="array" ref="D22">'Inmatning'!$B$6</f>
        <v/>
      </c>
      <c r="E22" s="47">
        <f t="array" ref="E22">'Inmatning'!$B$6</f>
        <v/>
      </c>
      <c r="F22" s="47">
        <f t="array" ref="F22">'Inmatning'!$B$6</f>
        <v/>
      </c>
      <c r="G22" s="47">
        <f t="array" ref="G22">'Inmatning'!$B$6</f>
        <v/>
      </c>
      <c r="H22" s="47">
        <f t="array" ref="H22">'Inmatning'!$B$6</f>
        <v/>
      </c>
      <c r="I22" s="47">
        <f t="array" ref="I22">'Inmatning'!$B$6</f>
        <v/>
      </c>
      <c r="J22" s="47">
        <f t="array" ref="J22">AVERAGE(B22:I22)</f>
        <v/>
      </c>
      <c r="K22" s="48" t="inlineStr">
        <is>
          <t>Central procentsats per månad för personalförsäkring</t>
        </is>
      </c>
      <c r="L22" s="45" t="n"/>
      <c r="M22" s="8" t="n"/>
      <c r="N22" s="142" t="n"/>
      <c r="O22" s="142" t="n"/>
      <c r="P22" s="142" t="n"/>
    </row>
    <row r="23" ht="15" customHeight="1" s="155">
      <c r="A23" s="49" t="n"/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1" t="n"/>
      <c r="L23" s="16" t="n"/>
      <c r="M23" s="8" t="n"/>
      <c r="N23" s="142" t="n"/>
      <c r="O23" s="142" t="n"/>
      <c r="P23" s="142" t="n"/>
    </row>
    <row r="24" ht="15" customHeight="1" s="155">
      <c r="A24" s="42" t="inlineStr">
        <is>
          <t>Johan Sandersnäs – arbetsgrad %</t>
        </is>
      </c>
      <c r="B24" s="43" t="n">
        <v>0.2</v>
      </c>
      <c r="C24" s="43" t="n">
        <v>0.2</v>
      </c>
      <c r="D24" s="43" t="n">
        <v>0.5</v>
      </c>
      <c r="E24" s="43" t="n">
        <v>0.5</v>
      </c>
      <c r="F24" s="43" t="n">
        <v>0.8</v>
      </c>
      <c r="G24" s="43" t="n">
        <v>0.8</v>
      </c>
      <c r="H24" s="43" t="n">
        <v>0.8</v>
      </c>
      <c r="I24" s="43" t="n">
        <v>0.8</v>
      </c>
      <c r="J24" s="43">
        <f t="array" ref="J24">AVERAGE(B24:I24)</f>
        <v/>
      </c>
      <c r="K24" s="44" t="inlineStr">
        <is>
          <t>Arbetsgrad kan ändras per månad</t>
        </is>
      </c>
      <c r="L24" s="45" t="n"/>
      <c r="M24" s="8" t="n"/>
      <c r="N24" s="142" t="n"/>
      <c r="O24" s="142" t="n"/>
      <c r="P24" s="142" t="n"/>
    </row>
    <row r="25" ht="15" customHeight="1" s="155">
      <c r="A25" s="31" t="inlineStr">
        <is>
          <t>Johan Sandersnäs – bruttolön</t>
        </is>
      </c>
      <c r="B25" s="159">
        <f>'Inmatning'!$B$42*B24</f>
        <v/>
      </c>
      <c r="C25" s="159">
        <f>'Inmatning'!$B$42*C24</f>
        <v/>
      </c>
      <c r="D25" s="159">
        <f>'Inmatning'!$B$42*D24</f>
        <v/>
      </c>
      <c r="E25" s="159">
        <f>'Inmatning'!$B$42*E24</f>
        <v/>
      </c>
      <c r="F25" s="159">
        <f>'Inmatning'!$B$42*F24</f>
        <v/>
      </c>
      <c r="G25" s="159">
        <f>'Inmatning'!$B$42*G24</f>
        <v/>
      </c>
      <c r="H25" s="159">
        <f>'Inmatning'!$B$42*H24</f>
        <v/>
      </c>
      <c r="I25" s="159">
        <f>'Inmatning'!$B$42*I24</f>
        <v/>
      </c>
      <c r="J25" s="159">
        <f>SUM(B25:I25)</f>
        <v/>
      </c>
      <c r="K25" s="52" t="inlineStr">
        <is>
          <t>Bruttolön hämtas från Inmatning × arbetsgrad; kan skrivas över</t>
        </is>
      </c>
      <c r="L25" s="53" t="n"/>
      <c r="M25" s="8" t="n"/>
      <c r="N25" s="142" t="n"/>
      <c r="O25" s="142" t="n"/>
      <c r="P25" s="142" t="n"/>
    </row>
    <row r="26" ht="15" customHeight="1" s="155">
      <c r="A26" s="31" t="inlineStr">
        <is>
          <t>Johan Sandersnäs – arbetsgivaravgift</t>
        </is>
      </c>
      <c r="B26" s="159">
        <f t="array" ref="B26">B25*B$20</f>
        <v/>
      </c>
      <c r="C26" s="159">
        <f t="array" ref="C26">C25*C$20</f>
        <v/>
      </c>
      <c r="D26" s="159">
        <f t="array" ref="D26">D25*D$20</f>
        <v/>
      </c>
      <c r="E26" s="159">
        <f t="array" ref="E26">E25*E$20</f>
        <v/>
      </c>
      <c r="F26" s="159">
        <f t="array" ref="F26">F25*F$20</f>
        <v/>
      </c>
      <c r="G26" s="159">
        <f t="array" ref="G26">G25*G$20</f>
        <v/>
      </c>
      <c r="H26" s="159">
        <f t="array" ref="H26">H25*H$20</f>
        <v/>
      </c>
      <c r="I26" s="159">
        <f t="array" ref="I26">I25*I$20</f>
        <v/>
      </c>
      <c r="J26" s="159">
        <f t="array" ref="J26">SUM(B26:I26)</f>
        <v/>
      </c>
      <c r="K26" s="52" t="inlineStr">
        <is>
          <t>Bruttolön × arbetsgivaravgift %</t>
        </is>
      </c>
      <c r="L26" s="53" t="n"/>
      <c r="M26" s="8" t="n"/>
      <c r="N26" s="142" t="n"/>
      <c r="O26" s="142" t="n"/>
      <c r="P26" s="142" t="n"/>
    </row>
    <row r="27" ht="15" customHeight="1" s="155">
      <c r="A27" s="31" t="inlineStr">
        <is>
          <t>Johan Sandersnäs – tjänstepension</t>
        </is>
      </c>
      <c r="B27" s="159">
        <f>B25*'Inmatning'!$C$42</f>
        <v/>
      </c>
      <c r="C27" s="159">
        <f>C25*'Inmatning'!$C$42</f>
        <v/>
      </c>
      <c r="D27" s="159">
        <f>D25*'Inmatning'!$C$42</f>
        <v/>
      </c>
      <c r="E27" s="159">
        <f>E25*'Inmatning'!$C$42</f>
        <v/>
      </c>
      <c r="F27" s="159">
        <f>F25*'Inmatning'!$C$42</f>
        <v/>
      </c>
      <c r="G27" s="159">
        <f>G25*'Inmatning'!$C$42</f>
        <v/>
      </c>
      <c r="H27" s="159">
        <f>H25*'Inmatning'!$C$42</f>
        <v/>
      </c>
      <c r="I27" s="159">
        <f>I25*'Inmatning'!$C$42</f>
        <v/>
      </c>
      <c r="J27" s="159">
        <f>SUM(B27:I27)</f>
        <v/>
      </c>
      <c r="K27" s="52" t="inlineStr">
        <is>
          <t>Tjänstepension hämtas från individuell pensionssats; kan skrivas över</t>
        </is>
      </c>
      <c r="L27" s="53" t="n"/>
      <c r="M27" s="8" t="n"/>
      <c r="N27" s="142" t="n"/>
      <c r="O27" s="142" t="n"/>
      <c r="P27" s="142" t="n"/>
    </row>
    <row r="28" ht="15" customHeight="1" s="155">
      <c r="A28" s="31" t="inlineStr">
        <is>
          <t>Johan Sandersnäs – personalförsäkring</t>
        </is>
      </c>
      <c r="B28" s="159">
        <f t="array" ref="B28">B25*B$22</f>
        <v/>
      </c>
      <c r="C28" s="159">
        <f t="array" ref="C28">C25*C$22</f>
        <v/>
      </c>
      <c r="D28" s="159">
        <f t="array" ref="D28">D25*D$22</f>
        <v/>
      </c>
      <c r="E28" s="159">
        <f t="array" ref="E28">E25*E$22</f>
        <v/>
      </c>
      <c r="F28" s="159">
        <f t="array" ref="F28">F25*F$22</f>
        <v/>
      </c>
      <c r="G28" s="159">
        <f t="array" ref="G28">G25*G$22</f>
        <v/>
      </c>
      <c r="H28" s="159">
        <f t="array" ref="H28">H25*H$22</f>
        <v/>
      </c>
      <c r="I28" s="159">
        <f t="array" ref="I28">I25*I$22</f>
        <v/>
      </c>
      <c r="J28" s="159">
        <f t="array" ref="J28">SUM(B28:I28)</f>
        <v/>
      </c>
      <c r="K28" s="52" t="inlineStr">
        <is>
          <t>Bruttolön × personalförsäkring %</t>
        </is>
      </c>
      <c r="L28" s="53" t="n"/>
      <c r="M28" s="8" t="n"/>
      <c r="N28" s="142" t="n"/>
      <c r="O28" s="142" t="n"/>
      <c r="P28" s="142" t="n"/>
    </row>
    <row r="29" ht="26.85" customHeight="1" s="155">
      <c r="A29" s="54" t="inlineStr">
        <is>
          <t>Johan Sandersnäs – total personalkostnad</t>
        </is>
      </c>
      <c r="B29" s="161">
        <f t="array" ref="B29">SUM(B25:B28)</f>
        <v/>
      </c>
      <c r="C29" s="161">
        <f t="array" ref="C29">SUM(C25:C28)</f>
        <v/>
      </c>
      <c r="D29" s="161">
        <f t="array" ref="D29">SUM(D25:D28)</f>
        <v/>
      </c>
      <c r="E29" s="161">
        <f t="array" ref="E29">SUM(E25:E28)</f>
        <v/>
      </c>
      <c r="F29" s="161">
        <f t="array" ref="F29">SUM(F25:F28)</f>
        <v/>
      </c>
      <c r="G29" s="161">
        <f t="array" ref="G29">SUM(G25:G28)</f>
        <v/>
      </c>
      <c r="H29" s="161">
        <f t="array" ref="H29">SUM(H25:H28)</f>
        <v/>
      </c>
      <c r="I29" s="161">
        <f t="array" ref="I29">SUM(I25:I28)</f>
        <v/>
      </c>
      <c r="J29" s="161">
        <f t="array" ref="J29">SUM(B29:I29)</f>
        <v/>
      </c>
      <c r="K29" s="56" t="inlineStr">
        <is>
          <t>Summa lön + arbetsgivaravgift + pension + försäkring</t>
        </is>
      </c>
      <c r="L29" s="57" t="n"/>
      <c r="M29" s="8" t="n"/>
      <c r="N29" s="142" t="n"/>
      <c r="O29" s="142" t="n"/>
      <c r="P29" s="142" t="n"/>
    </row>
    <row r="30" ht="15" customHeight="1" s="155">
      <c r="A30" s="39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1" t="n"/>
      <c r="L30" s="16" t="n"/>
      <c r="M30" s="8" t="n"/>
      <c r="N30" s="142" t="n"/>
      <c r="O30" s="142" t="n"/>
      <c r="P30" s="142" t="n"/>
    </row>
    <row r="31" ht="15" customHeight="1" s="155">
      <c r="A31" s="42" t="inlineStr">
        <is>
          <t>Anders Rasmusson – arbetsgrad %</t>
        </is>
      </c>
      <c r="B31" s="43" t="n">
        <v>0.7</v>
      </c>
      <c r="C31" s="43" t="n">
        <v>0.7</v>
      </c>
      <c r="D31" s="43" t="n">
        <v>0.7</v>
      </c>
      <c r="E31" s="43" t="n">
        <v>0.7</v>
      </c>
      <c r="F31" s="43" t="n">
        <v>0.8</v>
      </c>
      <c r="G31" s="43" t="n">
        <v>0.8</v>
      </c>
      <c r="H31" s="43" t="n">
        <v>0.8</v>
      </c>
      <c r="I31" s="43" t="n">
        <v>0.8</v>
      </c>
      <c r="J31" s="43">
        <f t="array" ref="J31">AVERAGE(B31:I31)</f>
        <v/>
      </c>
      <c r="K31" s="44" t="inlineStr">
        <is>
          <t>Arbetsgrad kan ändras per månad</t>
        </is>
      </c>
      <c r="L31" s="45" t="n"/>
      <c r="M31" s="8" t="n"/>
      <c r="N31" s="142" t="n"/>
      <c r="O31" s="142" t="n"/>
      <c r="P31" s="142" t="n"/>
    </row>
    <row r="32" ht="15" customHeight="1" s="155">
      <c r="A32" s="31" t="inlineStr">
        <is>
          <t>Anders Rasmusson – bruttolön</t>
        </is>
      </c>
      <c r="B32" s="159">
        <f>'Inmatning'!$B$43*B31</f>
        <v/>
      </c>
      <c r="C32" s="159">
        <f>'Inmatning'!$B$43*C31</f>
        <v/>
      </c>
      <c r="D32" s="159">
        <f>'Inmatning'!$B$43*D31</f>
        <v/>
      </c>
      <c r="E32" s="159">
        <f>'Inmatning'!$B$43*E31</f>
        <v/>
      </c>
      <c r="F32" s="159">
        <f>'Inmatning'!$B$43*F31</f>
        <v/>
      </c>
      <c r="G32" s="159">
        <f>'Inmatning'!$B$43*G31</f>
        <v/>
      </c>
      <c r="H32" s="159">
        <f>'Inmatning'!$B$43*H31</f>
        <v/>
      </c>
      <c r="I32" s="159">
        <f>'Inmatning'!$B$43*I31</f>
        <v/>
      </c>
      <c r="J32" s="159">
        <f>SUM(B32:I32)</f>
        <v/>
      </c>
      <c r="K32" s="52" t="inlineStr">
        <is>
          <t>Bruttolön hämtas från Inmatning × arbetsgrad; kan skrivas över</t>
        </is>
      </c>
      <c r="L32" s="53" t="n"/>
      <c r="M32" s="8" t="n"/>
      <c r="N32" s="142" t="n"/>
      <c r="O32" s="142" t="n"/>
      <c r="P32" s="142" t="n"/>
    </row>
    <row r="33" ht="15" customHeight="1" s="155">
      <c r="A33" s="31" t="inlineStr">
        <is>
          <t>Anders Rasmusson – arbetsgivaravgift</t>
        </is>
      </c>
      <c r="B33" s="159">
        <f t="array" ref="B33">B32*B$20</f>
        <v/>
      </c>
      <c r="C33" s="159">
        <f t="array" ref="C33">C32*C$20</f>
        <v/>
      </c>
      <c r="D33" s="159">
        <f t="array" ref="D33">D32*D$20</f>
        <v/>
      </c>
      <c r="E33" s="159">
        <f t="array" ref="E33">E32*E$20</f>
        <v/>
      </c>
      <c r="F33" s="159">
        <f t="array" ref="F33">F32*F$20</f>
        <v/>
      </c>
      <c r="G33" s="159">
        <f t="array" ref="G33">G32*G$20</f>
        <v/>
      </c>
      <c r="H33" s="159">
        <f t="array" ref="H33">H32*H$20</f>
        <v/>
      </c>
      <c r="I33" s="159">
        <f t="array" ref="I33">I32*I$20</f>
        <v/>
      </c>
      <c r="J33" s="159">
        <f t="array" ref="J33">SUM(B33:I33)</f>
        <v/>
      </c>
      <c r="K33" s="52" t="inlineStr">
        <is>
          <t>Bruttolön × arbetsgivaravgift %</t>
        </is>
      </c>
      <c r="L33" s="53" t="n"/>
      <c r="M33" s="8" t="n"/>
      <c r="N33" s="142" t="n"/>
      <c r="O33" s="142" t="n"/>
      <c r="P33" s="142" t="n"/>
    </row>
    <row r="34" ht="15" customHeight="1" s="155">
      <c r="A34" s="31" t="inlineStr">
        <is>
          <t>Anders Rasmusson – tjänstepension</t>
        </is>
      </c>
      <c r="B34" s="159">
        <f>B32*'Inmatning'!$C$43</f>
        <v/>
      </c>
      <c r="C34" s="159">
        <f>C32*'Inmatning'!$C$43</f>
        <v/>
      </c>
      <c r="D34" s="159">
        <f>D32*'Inmatning'!$C$43</f>
        <v/>
      </c>
      <c r="E34" s="159">
        <f>E32*'Inmatning'!$C$43</f>
        <v/>
      </c>
      <c r="F34" s="159">
        <f>F32*'Inmatning'!$C$43</f>
        <v/>
      </c>
      <c r="G34" s="159">
        <f>G32*'Inmatning'!$C$43</f>
        <v/>
      </c>
      <c r="H34" s="159">
        <f>H32*'Inmatning'!$C$43</f>
        <v/>
      </c>
      <c r="I34" s="159">
        <f>I32*'Inmatning'!$C$43</f>
        <v/>
      </c>
      <c r="J34" s="159">
        <f>SUM(B34:I34)</f>
        <v/>
      </c>
      <c r="K34" s="52" t="inlineStr">
        <is>
          <t>Tjänstepension hämtas från individuell pensionssats; kan skrivas över</t>
        </is>
      </c>
      <c r="L34" s="53" t="n"/>
      <c r="M34" s="8" t="n"/>
      <c r="N34" s="142" t="n"/>
      <c r="O34" s="142" t="n"/>
      <c r="P34" s="142" t="n"/>
    </row>
    <row r="35" ht="15" customHeight="1" s="155">
      <c r="A35" s="31" t="inlineStr">
        <is>
          <t>Anders Rasmusson – personalförsäkring</t>
        </is>
      </c>
      <c r="B35" s="159">
        <f t="array" ref="B35">B32*B$22</f>
        <v/>
      </c>
      <c r="C35" s="159">
        <f t="array" ref="C35">C32*C$22</f>
        <v/>
      </c>
      <c r="D35" s="159">
        <f t="array" ref="D35">D32*D$22</f>
        <v/>
      </c>
      <c r="E35" s="159">
        <f t="array" ref="E35">E32*E$22</f>
        <v/>
      </c>
      <c r="F35" s="159">
        <f t="array" ref="F35">F32*F$22</f>
        <v/>
      </c>
      <c r="G35" s="159">
        <f t="array" ref="G35">G32*G$22</f>
        <v/>
      </c>
      <c r="H35" s="159">
        <f t="array" ref="H35">H32*H$22</f>
        <v/>
      </c>
      <c r="I35" s="159">
        <f t="array" ref="I35">I32*I$22</f>
        <v/>
      </c>
      <c r="J35" s="159">
        <f t="array" ref="J35">SUM(B35:I35)</f>
        <v/>
      </c>
      <c r="K35" s="52" t="inlineStr">
        <is>
          <t>Bruttolön × personalförsäkring %</t>
        </is>
      </c>
      <c r="L35" s="53" t="n"/>
      <c r="M35" s="8" t="n"/>
      <c r="N35" s="142" t="n"/>
      <c r="O35" s="142" t="n"/>
      <c r="P35" s="142" t="n"/>
    </row>
    <row r="36" ht="26.85" customHeight="1" s="155">
      <c r="A36" s="54" t="inlineStr">
        <is>
          <t>Anders Rasmusson – total personalkostnad</t>
        </is>
      </c>
      <c r="B36" s="161">
        <f t="array" ref="B36">SUM(B32:B35)</f>
        <v/>
      </c>
      <c r="C36" s="161">
        <f t="array" ref="C36">SUM(C32:C35)</f>
        <v/>
      </c>
      <c r="D36" s="161">
        <f t="array" ref="D36">SUM(D32:D35)</f>
        <v/>
      </c>
      <c r="E36" s="161">
        <f t="array" ref="E36">SUM(E32:E35)</f>
        <v/>
      </c>
      <c r="F36" s="161">
        <f t="array" ref="F36">SUM(F32:F35)</f>
        <v/>
      </c>
      <c r="G36" s="161">
        <f t="array" ref="G36">SUM(G32:G35)</f>
        <v/>
      </c>
      <c r="H36" s="161">
        <f t="array" ref="H36">SUM(H32:H35)</f>
        <v/>
      </c>
      <c r="I36" s="161">
        <f t="array" ref="I36">SUM(I32:I35)</f>
        <v/>
      </c>
      <c r="J36" s="161">
        <f t="array" ref="J36">SUM(B36:I36)</f>
        <v/>
      </c>
      <c r="K36" s="56" t="inlineStr">
        <is>
          <t>Summa lön + arbetsgivaravgift + pension + försäkring</t>
        </is>
      </c>
      <c r="L36" s="57" t="n"/>
      <c r="M36" s="8" t="n"/>
      <c r="N36" s="142" t="n"/>
      <c r="O36" s="142" t="n"/>
      <c r="P36" s="142" t="n"/>
    </row>
    <row r="37" ht="15" customHeight="1" s="155">
      <c r="A37" s="39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1" t="n"/>
      <c r="L37" s="16" t="n"/>
      <c r="M37" s="8" t="n"/>
      <c r="N37" s="142" t="n"/>
      <c r="O37" s="142" t="n"/>
      <c r="P37" s="142" t="n"/>
    </row>
    <row r="38" ht="15" customHeight="1" s="155">
      <c r="A38" s="42" t="inlineStr">
        <is>
          <t>David Kremer – arbetsgrad %</t>
        </is>
      </c>
      <c r="B38" s="43" t="n">
        <v>0.2</v>
      </c>
      <c r="C38" s="43" t="n">
        <v>0.2</v>
      </c>
      <c r="D38" s="43" t="n">
        <v>0.5</v>
      </c>
      <c r="E38" s="43" t="n">
        <v>0.5</v>
      </c>
      <c r="F38" s="43" t="n">
        <v>0.8</v>
      </c>
      <c r="G38" s="43" t="n">
        <v>0.8</v>
      </c>
      <c r="H38" s="43" t="n">
        <v>0.8</v>
      </c>
      <c r="I38" s="43" t="n">
        <v>0.8</v>
      </c>
      <c r="J38" s="43">
        <f t="array" ref="J38">AVERAGE(B38:I38)</f>
        <v/>
      </c>
      <c r="K38" s="44" t="inlineStr">
        <is>
          <t>Arbetsgrad kan ändras per månad</t>
        </is>
      </c>
      <c r="L38" s="45" t="n"/>
      <c r="M38" s="8" t="n"/>
      <c r="N38" s="142" t="n"/>
      <c r="O38" s="142" t="n"/>
      <c r="P38" s="142" t="n"/>
    </row>
    <row r="39" ht="15" customHeight="1" s="155">
      <c r="A39" s="31" t="inlineStr">
        <is>
          <t>David Kremer – bruttolön</t>
        </is>
      </c>
      <c r="B39" s="159">
        <f>'Inmatning'!$B$44*B38</f>
        <v/>
      </c>
      <c r="C39" s="159">
        <f>'Inmatning'!$B$44*C38</f>
        <v/>
      </c>
      <c r="D39" s="159">
        <f>'Inmatning'!$B$44*D38</f>
        <v/>
      </c>
      <c r="E39" s="159">
        <f>'Inmatning'!$B$44*E38</f>
        <v/>
      </c>
      <c r="F39" s="159">
        <f>'Inmatning'!$B$44*F38</f>
        <v/>
      </c>
      <c r="G39" s="159">
        <f>'Inmatning'!$B$44*G38</f>
        <v/>
      </c>
      <c r="H39" s="159">
        <f>'Inmatning'!$B$44*H38</f>
        <v/>
      </c>
      <c r="I39" s="159">
        <f>'Inmatning'!$B$44*I38</f>
        <v/>
      </c>
      <c r="J39" s="159">
        <f>SUM(B39:I39)</f>
        <v/>
      </c>
      <c r="K39" s="52" t="inlineStr">
        <is>
          <t>Bruttolön hämtas från Inmatning × arbetsgrad; kan skrivas över</t>
        </is>
      </c>
      <c r="L39" s="53" t="n"/>
      <c r="M39" s="8" t="n"/>
      <c r="N39" s="142" t="n"/>
      <c r="O39" s="142" t="n"/>
      <c r="P39" s="142" t="n"/>
    </row>
    <row r="40" ht="15" customHeight="1" s="155">
      <c r="A40" s="31" t="inlineStr">
        <is>
          <t>David Kremer – arbetsgivaravgift</t>
        </is>
      </c>
      <c r="B40" s="159">
        <f t="array" ref="B40">B39*B$20</f>
        <v/>
      </c>
      <c r="C40" s="159">
        <f t="array" ref="C40">C39*C$20</f>
        <v/>
      </c>
      <c r="D40" s="159">
        <f t="array" ref="D40">D39*D$20</f>
        <v/>
      </c>
      <c r="E40" s="159">
        <f t="array" ref="E40">E39*E$20</f>
        <v/>
      </c>
      <c r="F40" s="159">
        <f t="array" ref="F40">F39*F$20</f>
        <v/>
      </c>
      <c r="G40" s="159">
        <f t="array" ref="G40">G39*G$20</f>
        <v/>
      </c>
      <c r="H40" s="159">
        <f t="array" ref="H40">H39*H$20</f>
        <v/>
      </c>
      <c r="I40" s="159">
        <f t="array" ref="I40">I39*I$20</f>
        <v/>
      </c>
      <c r="J40" s="159">
        <f t="array" ref="J40">SUM(B40:I40)</f>
        <v/>
      </c>
      <c r="K40" s="52" t="inlineStr">
        <is>
          <t>Bruttolön × arbetsgivaravgift %</t>
        </is>
      </c>
      <c r="L40" s="53" t="n"/>
      <c r="M40" s="8" t="n"/>
      <c r="N40" s="142" t="n"/>
      <c r="O40" s="142" t="n"/>
      <c r="P40" s="142" t="n"/>
    </row>
    <row r="41" ht="15" customHeight="1" s="155">
      <c r="A41" s="31" t="inlineStr">
        <is>
          <t>David Kremer – tjänstepension</t>
        </is>
      </c>
      <c r="B41" s="159">
        <f>B39*'Inmatning'!$C$44</f>
        <v/>
      </c>
      <c r="C41" s="159">
        <f>C39*'Inmatning'!$C$44</f>
        <v/>
      </c>
      <c r="D41" s="159">
        <f>D39*'Inmatning'!$C$44</f>
        <v/>
      </c>
      <c r="E41" s="159">
        <f>E39*'Inmatning'!$C$44</f>
        <v/>
      </c>
      <c r="F41" s="159">
        <f>F39*'Inmatning'!$C$44</f>
        <v/>
      </c>
      <c r="G41" s="159">
        <f>G39*'Inmatning'!$C$44</f>
        <v/>
      </c>
      <c r="H41" s="159">
        <f>H39*'Inmatning'!$C$44</f>
        <v/>
      </c>
      <c r="I41" s="159">
        <f>I39*'Inmatning'!$C$44</f>
        <v/>
      </c>
      <c r="J41" s="159">
        <f>SUM(B41:I41)</f>
        <v/>
      </c>
      <c r="K41" s="52" t="inlineStr">
        <is>
          <t>Tjänstepension hämtas från individuell pensionssats; kan skrivas över</t>
        </is>
      </c>
      <c r="L41" s="53" t="n"/>
      <c r="M41" s="8" t="n"/>
      <c r="N41" s="142" t="n"/>
      <c r="O41" s="142" t="n"/>
      <c r="P41" s="142" t="n"/>
    </row>
    <row r="42" ht="15" customHeight="1" s="155">
      <c r="A42" s="31" t="inlineStr">
        <is>
          <t>David Kremer – personalförsäkring</t>
        </is>
      </c>
      <c r="B42" s="159">
        <f t="array" ref="B42">B39*B$22</f>
        <v/>
      </c>
      <c r="C42" s="159">
        <f t="array" ref="C42">C39*C$22</f>
        <v/>
      </c>
      <c r="D42" s="159">
        <f t="array" ref="D42">D39*D$22</f>
        <v/>
      </c>
      <c r="E42" s="159">
        <f t="array" ref="E42">E39*E$22</f>
        <v/>
      </c>
      <c r="F42" s="159">
        <f t="array" ref="F42">F39*F$22</f>
        <v/>
      </c>
      <c r="G42" s="159">
        <f t="array" ref="G42">G39*G$22</f>
        <v/>
      </c>
      <c r="H42" s="159">
        <f t="array" ref="H42">H39*H$22</f>
        <v/>
      </c>
      <c r="I42" s="159">
        <f t="array" ref="I42">I39*I$22</f>
        <v/>
      </c>
      <c r="J42" s="159">
        <f t="array" ref="J42">SUM(B42:I42)</f>
        <v/>
      </c>
      <c r="K42" s="52" t="inlineStr">
        <is>
          <t>Bruttolön × personalförsäkring %</t>
        </is>
      </c>
      <c r="L42" s="53" t="n"/>
      <c r="M42" s="8" t="n"/>
      <c r="N42" s="142" t="n"/>
      <c r="O42" s="142" t="n"/>
      <c r="P42" s="142" t="n"/>
    </row>
    <row r="43" ht="26.85" customHeight="1" s="155">
      <c r="A43" s="54" t="inlineStr">
        <is>
          <t>David Kremer – total personalkostnad</t>
        </is>
      </c>
      <c r="B43" s="161">
        <f t="array" ref="B43">SUM(B39:B42)</f>
        <v/>
      </c>
      <c r="C43" s="161">
        <f t="array" ref="C43">SUM(C39:C42)</f>
        <v/>
      </c>
      <c r="D43" s="161">
        <f t="array" ref="D43">SUM(D39:D42)</f>
        <v/>
      </c>
      <c r="E43" s="161">
        <f t="array" ref="E43">SUM(E39:E42)</f>
        <v/>
      </c>
      <c r="F43" s="161">
        <f t="array" ref="F43">SUM(F39:F42)</f>
        <v/>
      </c>
      <c r="G43" s="161">
        <f t="array" ref="G43">SUM(G39:G42)</f>
        <v/>
      </c>
      <c r="H43" s="161">
        <f t="array" ref="H43">SUM(H39:H42)</f>
        <v/>
      </c>
      <c r="I43" s="161">
        <f t="array" ref="I43">SUM(I39:I42)</f>
        <v/>
      </c>
      <c r="J43" s="161">
        <f t="array" ref="J43">SUM(B43:I43)</f>
        <v/>
      </c>
      <c r="K43" s="56" t="inlineStr">
        <is>
          <t>Summa lön + arbetsgivaravgift + pension + försäkring</t>
        </is>
      </c>
      <c r="L43" s="57" t="n"/>
      <c r="M43" s="8" t="n"/>
      <c r="N43" s="142" t="n"/>
      <c r="O43" s="142" t="n"/>
      <c r="P43" s="142" t="n"/>
    </row>
    <row r="44" ht="15" customHeight="1" s="155">
      <c r="A44" s="39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1" t="n"/>
      <c r="L44" s="16" t="n"/>
      <c r="M44" s="8" t="n"/>
      <c r="N44" s="142" t="n"/>
      <c r="O44" s="142" t="n"/>
      <c r="P44" s="142" t="n"/>
    </row>
    <row r="45" ht="15" customHeight="1" s="155">
      <c r="A45" s="42" t="inlineStr">
        <is>
          <t>Magnus Lindau – arbetsgrad %</t>
        </is>
      </c>
      <c r="B45" s="43" t="n">
        <v>0.2</v>
      </c>
      <c r="C45" s="43" t="n">
        <v>0.7</v>
      </c>
      <c r="D45" s="43" t="n">
        <v>0.7</v>
      </c>
      <c r="E45" s="43" t="n">
        <v>0.7</v>
      </c>
      <c r="F45" s="43" t="n">
        <v>0.8</v>
      </c>
      <c r="G45" s="43" t="n">
        <v>0.8</v>
      </c>
      <c r="H45" s="43" t="n">
        <v>0.8</v>
      </c>
      <c r="I45" s="43" t="n">
        <v>0.8</v>
      </c>
      <c r="J45" s="43">
        <f t="array" ref="J45">AVERAGE(B45:I45)</f>
        <v/>
      </c>
      <c r="K45" s="44" t="inlineStr">
        <is>
          <t>Arbetsgrad kan ändras per månad</t>
        </is>
      </c>
      <c r="L45" s="45" t="n"/>
      <c r="M45" s="8" t="n"/>
      <c r="N45" s="142" t="n"/>
      <c r="O45" s="142" t="n"/>
      <c r="P45" s="142" t="n"/>
    </row>
    <row r="46" ht="15" customHeight="1" s="155">
      <c r="A46" s="31" t="inlineStr">
        <is>
          <t>Magnus Lindau – bruttolön</t>
        </is>
      </c>
      <c r="B46" s="159">
        <f>'Inmatning'!$B$45*B45</f>
        <v/>
      </c>
      <c r="C46" s="159">
        <f>'Inmatning'!$B$45*C45</f>
        <v/>
      </c>
      <c r="D46" s="159">
        <f>'Inmatning'!$B$45*D45</f>
        <v/>
      </c>
      <c r="E46" s="159">
        <f>'Inmatning'!$B$45*E45</f>
        <v/>
      </c>
      <c r="F46" s="159">
        <f>'Inmatning'!$B$45*F45</f>
        <v/>
      </c>
      <c r="G46" s="159">
        <f>'Inmatning'!$B$45*G45</f>
        <v/>
      </c>
      <c r="H46" s="159">
        <f>'Inmatning'!$B$45*H45</f>
        <v/>
      </c>
      <c r="I46" s="159">
        <f>'Inmatning'!$B$45*I45</f>
        <v/>
      </c>
      <c r="J46" s="159">
        <f>SUM(B46:I46)</f>
        <v/>
      </c>
      <c r="K46" s="52" t="inlineStr">
        <is>
          <t>Bruttolön hämtas från Inmatning × arbetsgrad; kan skrivas över</t>
        </is>
      </c>
      <c r="L46" s="53" t="n"/>
      <c r="M46" s="8" t="n"/>
      <c r="N46" s="142" t="n"/>
      <c r="O46" s="142" t="n"/>
      <c r="P46" s="142" t="n"/>
    </row>
    <row r="47" ht="15" customHeight="1" s="155">
      <c r="A47" s="31" t="inlineStr">
        <is>
          <t>Magnus Lindau – arbetsgivaravgift</t>
        </is>
      </c>
      <c r="B47" s="159">
        <f t="array" ref="B47">B46*B$20</f>
        <v/>
      </c>
      <c r="C47" s="159">
        <f t="array" ref="C47">C46*C$20</f>
        <v/>
      </c>
      <c r="D47" s="159">
        <f t="array" ref="D47">D46*D$20</f>
        <v/>
      </c>
      <c r="E47" s="159">
        <f t="array" ref="E47">E46*E$20</f>
        <v/>
      </c>
      <c r="F47" s="159">
        <f t="array" ref="F47">F46*F$20</f>
        <v/>
      </c>
      <c r="G47" s="159">
        <f t="array" ref="G47">G46*G$20</f>
        <v/>
      </c>
      <c r="H47" s="159">
        <f t="array" ref="H47">H46*H$20</f>
        <v/>
      </c>
      <c r="I47" s="159">
        <f t="array" ref="I47">I46*I$20</f>
        <v/>
      </c>
      <c r="J47" s="159">
        <f t="array" ref="J47">SUM(B47:I47)</f>
        <v/>
      </c>
      <c r="K47" s="52" t="inlineStr">
        <is>
          <t>Bruttolön × arbetsgivaravgift %</t>
        </is>
      </c>
      <c r="L47" s="53" t="n"/>
      <c r="M47" s="8" t="n"/>
      <c r="N47" s="142" t="n"/>
      <c r="O47" s="142" t="n"/>
      <c r="P47" s="142" t="n"/>
    </row>
    <row r="48" ht="15" customHeight="1" s="155">
      <c r="A48" s="31" t="inlineStr">
        <is>
          <t>Magnus Lindau – tjänstepension</t>
        </is>
      </c>
      <c r="B48" s="159">
        <f>B46*'Inmatning'!$C$45</f>
        <v/>
      </c>
      <c r="C48" s="159">
        <f>C46*'Inmatning'!$C$45</f>
        <v/>
      </c>
      <c r="D48" s="159">
        <f>D46*'Inmatning'!$C$45</f>
        <v/>
      </c>
      <c r="E48" s="159">
        <f>E46*'Inmatning'!$C$45</f>
        <v/>
      </c>
      <c r="F48" s="159">
        <f>F46*'Inmatning'!$C$45</f>
        <v/>
      </c>
      <c r="G48" s="159">
        <f>G46*'Inmatning'!$C$45</f>
        <v/>
      </c>
      <c r="H48" s="159">
        <f>H46*'Inmatning'!$C$45</f>
        <v/>
      </c>
      <c r="I48" s="159">
        <f>I46*'Inmatning'!$C$45</f>
        <v/>
      </c>
      <c r="J48" s="159">
        <f>SUM(B48:I48)</f>
        <v/>
      </c>
      <c r="K48" s="52" t="inlineStr">
        <is>
          <t>Tjänstepension hämtas från individuell pensionssats; kan skrivas över</t>
        </is>
      </c>
      <c r="L48" s="53" t="n"/>
      <c r="M48" s="8" t="n"/>
      <c r="N48" s="142" t="n"/>
      <c r="O48" s="142" t="n"/>
      <c r="P48" s="142" t="n"/>
    </row>
    <row r="49" ht="15" customHeight="1" s="155">
      <c r="A49" s="31" t="inlineStr">
        <is>
          <t>Magnus Lindau – personalförsäkring</t>
        </is>
      </c>
      <c r="B49" s="159">
        <f t="array" ref="B49">B46*B$22</f>
        <v/>
      </c>
      <c r="C49" s="159">
        <f t="array" ref="C49">C46*C$22</f>
        <v/>
      </c>
      <c r="D49" s="159">
        <f t="array" ref="D49">D46*D$22</f>
        <v/>
      </c>
      <c r="E49" s="159">
        <f t="array" ref="E49">E46*E$22</f>
        <v/>
      </c>
      <c r="F49" s="159">
        <f t="array" ref="F49">F46*F$22</f>
        <v/>
      </c>
      <c r="G49" s="159">
        <f t="array" ref="G49">G46*G$22</f>
        <v/>
      </c>
      <c r="H49" s="159">
        <f t="array" ref="H49">H46*H$22</f>
        <v/>
      </c>
      <c r="I49" s="159">
        <f t="array" ref="I49">I46*I$22</f>
        <v/>
      </c>
      <c r="J49" s="159">
        <f t="array" ref="J49">SUM(B49:I49)</f>
        <v/>
      </c>
      <c r="K49" s="52" t="inlineStr">
        <is>
          <t>Bruttolön × personalförsäkring %</t>
        </is>
      </c>
      <c r="L49" s="53" t="n"/>
      <c r="M49" s="8" t="n"/>
      <c r="N49" s="142" t="n"/>
      <c r="O49" s="142" t="n"/>
      <c r="P49" s="142" t="n"/>
    </row>
    <row r="50" ht="26.85" customHeight="1" s="155">
      <c r="A50" s="54" t="inlineStr">
        <is>
          <t>Magnus Lindau – total personalkostnad</t>
        </is>
      </c>
      <c r="B50" s="161">
        <f t="array" ref="B50">SUM(B46:B49)</f>
        <v/>
      </c>
      <c r="C50" s="161">
        <f t="array" ref="C50">SUM(C46:C49)</f>
        <v/>
      </c>
      <c r="D50" s="161">
        <f t="array" ref="D50">SUM(D46:D49)</f>
        <v/>
      </c>
      <c r="E50" s="161">
        <f t="array" ref="E50">SUM(E46:E49)</f>
        <v/>
      </c>
      <c r="F50" s="161">
        <f t="array" ref="F50">SUM(F46:F49)</f>
        <v/>
      </c>
      <c r="G50" s="161">
        <f t="array" ref="G50">SUM(G46:G49)</f>
        <v/>
      </c>
      <c r="H50" s="161">
        <f t="array" ref="H50">SUM(H46:H49)</f>
        <v/>
      </c>
      <c r="I50" s="161">
        <f t="array" ref="I50">SUM(I46:I49)</f>
        <v/>
      </c>
      <c r="J50" s="161">
        <f t="array" ref="J50">SUM(B50:I50)</f>
        <v/>
      </c>
      <c r="K50" s="56" t="inlineStr">
        <is>
          <t>Summa lön + arbetsgivaravgift + pension + försäkring</t>
        </is>
      </c>
      <c r="L50" s="57" t="n"/>
      <c r="M50" s="8" t="n"/>
      <c r="N50" s="142" t="n"/>
      <c r="O50" s="142" t="n"/>
      <c r="P50" s="142" t="n"/>
    </row>
    <row r="51" ht="15" customHeight="1" s="155">
      <c r="A51" s="39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1" t="n"/>
      <c r="L51" s="16" t="n"/>
      <c r="M51" s="8" t="n"/>
      <c r="N51" s="142" t="n"/>
      <c r="O51" s="142" t="n"/>
      <c r="P51" s="142" t="n"/>
    </row>
    <row r="52" ht="15" customHeight="1" s="155">
      <c r="A52" s="42" t="inlineStr">
        <is>
          <t>Wilhelm Johansson – arbetsgrad %</t>
        </is>
      </c>
      <c r="B52" s="43" t="n">
        <v>0.2</v>
      </c>
      <c r="C52" s="43" t="n">
        <v>0.5</v>
      </c>
      <c r="D52" s="43" t="n">
        <v>0.5</v>
      </c>
      <c r="E52" s="43" t="n">
        <v>0.5</v>
      </c>
      <c r="F52" s="43" t="n">
        <v>0.5</v>
      </c>
      <c r="G52" s="43" t="n">
        <v>0.5</v>
      </c>
      <c r="H52" s="43" t="n">
        <v>0.5</v>
      </c>
      <c r="I52" s="43" t="n">
        <v>0.5</v>
      </c>
      <c r="J52" s="43">
        <f t="array" ref="J52">AVERAGE(B52:I52)</f>
        <v/>
      </c>
      <c r="K52" s="44" t="inlineStr">
        <is>
          <t>Arbetsgrad kan ändras per månad</t>
        </is>
      </c>
      <c r="L52" s="45" t="n"/>
      <c r="M52" s="8" t="n"/>
      <c r="N52" s="142" t="n"/>
      <c r="O52" s="142" t="n"/>
      <c r="P52" s="142" t="n"/>
    </row>
    <row r="53" ht="15" customHeight="1" s="155">
      <c r="A53" s="31" t="inlineStr">
        <is>
          <t>Wilhelm Johansson – bruttolön</t>
        </is>
      </c>
      <c r="B53" s="159">
        <f>'Inmatning'!$B$46*B52</f>
        <v/>
      </c>
      <c r="C53" s="159">
        <f>'Inmatning'!$B$46*C52</f>
        <v/>
      </c>
      <c r="D53" s="159">
        <f>'Inmatning'!$B$46*D52</f>
        <v/>
      </c>
      <c r="E53" s="159">
        <f>'Inmatning'!$B$46*E52</f>
        <v/>
      </c>
      <c r="F53" s="159">
        <f>'Inmatning'!$B$46*F52</f>
        <v/>
      </c>
      <c r="G53" s="159">
        <f>'Inmatning'!$B$46*G52</f>
        <v/>
      </c>
      <c r="H53" s="159">
        <f>'Inmatning'!$B$46*H52</f>
        <v/>
      </c>
      <c r="I53" s="159">
        <f>'Inmatning'!$B$46*I52</f>
        <v/>
      </c>
      <c r="J53" s="159">
        <f>SUM(B53:I53)</f>
        <v/>
      </c>
      <c r="K53" s="52" t="inlineStr">
        <is>
          <t>Bruttolön hämtas från Inmatning × arbetsgrad; kan skrivas över</t>
        </is>
      </c>
      <c r="L53" s="53" t="n"/>
      <c r="M53" s="8" t="n"/>
      <c r="N53" s="142" t="n"/>
      <c r="O53" s="142" t="n"/>
      <c r="P53" s="142" t="n"/>
    </row>
    <row r="54" ht="15" customHeight="1" s="155">
      <c r="A54" s="31" t="inlineStr">
        <is>
          <t>Wilhelm Johansson – arbetsgivaravgift</t>
        </is>
      </c>
      <c r="B54" s="159">
        <f t="array" ref="B54">B53*B$20</f>
        <v/>
      </c>
      <c r="C54" s="159">
        <f t="array" ref="C54">C53*C$20</f>
        <v/>
      </c>
      <c r="D54" s="159">
        <f t="array" ref="D54">D53*D$20</f>
        <v/>
      </c>
      <c r="E54" s="159">
        <f t="array" ref="E54">E53*E$20</f>
        <v/>
      </c>
      <c r="F54" s="159">
        <f t="array" ref="F54">F53*F$20</f>
        <v/>
      </c>
      <c r="G54" s="159">
        <f t="array" ref="G54">G53*G$20</f>
        <v/>
      </c>
      <c r="H54" s="159">
        <f t="array" ref="H54">H53*H$20</f>
        <v/>
      </c>
      <c r="I54" s="159">
        <f t="array" ref="I54">I53*I$20</f>
        <v/>
      </c>
      <c r="J54" s="159">
        <f t="array" ref="J54">SUM(B54:I54)</f>
        <v/>
      </c>
      <c r="K54" s="52" t="inlineStr">
        <is>
          <t>Bruttolön × arbetsgivaravgift %</t>
        </is>
      </c>
      <c r="L54" s="53" t="n"/>
      <c r="M54" s="8" t="n"/>
      <c r="N54" s="142" t="n"/>
      <c r="O54" s="142" t="n"/>
      <c r="P54" s="142" t="n"/>
    </row>
    <row r="55" ht="22" customHeight="1" s="155">
      <c r="A55" s="58" t="inlineStr">
        <is>
          <t>Wilhelm Johansson – tjänstepension</t>
        </is>
      </c>
      <c r="B55" s="162">
        <f>B53*'Inmatning'!$C$46</f>
        <v/>
      </c>
      <c r="C55" s="162">
        <f>C53*'Inmatning'!$C$46</f>
        <v/>
      </c>
      <c r="D55" s="162">
        <f>D53*'Inmatning'!$C$46</f>
        <v/>
      </c>
      <c r="E55" s="162">
        <f>E53*'Inmatning'!$C$46</f>
        <v/>
      </c>
      <c r="F55" s="162">
        <f>F53*'Inmatning'!$C$46</f>
        <v/>
      </c>
      <c r="G55" s="162">
        <f>G53*'Inmatning'!$C$46</f>
        <v/>
      </c>
      <c r="H55" s="162">
        <f>H53*'Inmatning'!$C$46</f>
        <v/>
      </c>
      <c r="I55" s="162">
        <f>I53*'Inmatning'!$C$46</f>
        <v/>
      </c>
      <c r="J55" s="162">
        <f>SUM(B55:I55)</f>
        <v/>
      </c>
      <c r="K55" s="60" t="inlineStr">
        <is>
          <t>Tjänstepension hämtas från individuell pensionssats; kan skrivas över</t>
        </is>
      </c>
      <c r="L55" s="53" t="n"/>
      <c r="M55" s="8" t="n"/>
      <c r="N55" s="142" t="n"/>
      <c r="O55" s="142" t="n"/>
      <c r="P55" s="142" t="n"/>
    </row>
    <row r="56" ht="15" customHeight="1" s="155">
      <c r="A56" s="31" t="inlineStr">
        <is>
          <t>Wilhelm Johansson – personalförsäkring</t>
        </is>
      </c>
      <c r="B56" s="159">
        <f t="array" ref="B56">B53*B$22</f>
        <v/>
      </c>
      <c r="C56" s="159">
        <f t="array" ref="C56">C53*C$22</f>
        <v/>
      </c>
      <c r="D56" s="159">
        <f t="array" ref="D56">D53*D$22</f>
        <v/>
      </c>
      <c r="E56" s="159">
        <f t="array" ref="E56">E53*E$22</f>
        <v/>
      </c>
      <c r="F56" s="159">
        <f t="array" ref="F56">F53*F$22</f>
        <v/>
      </c>
      <c r="G56" s="159">
        <f t="array" ref="G56">G53*G$22</f>
        <v/>
      </c>
      <c r="H56" s="159">
        <f t="array" ref="H56">H53*H$22</f>
        <v/>
      </c>
      <c r="I56" s="159">
        <f t="array" ref="I56">I53*I$22</f>
        <v/>
      </c>
      <c r="J56" s="159">
        <f t="array" ref="J56">SUM(B56:I56)</f>
        <v/>
      </c>
      <c r="K56" s="52" t="inlineStr">
        <is>
          <t>Bruttolön × personalförsäkring %</t>
        </is>
      </c>
      <c r="L56" s="53" t="n"/>
      <c r="M56" s="8" t="n"/>
      <c r="N56" s="142" t="n"/>
      <c r="O56" s="142" t="n"/>
      <c r="P56" s="142" t="n"/>
    </row>
    <row r="57" ht="22" customHeight="1" s="155">
      <c r="A57" s="54" t="inlineStr">
        <is>
          <t>Wilhelm Johansson – total personalkostnad</t>
        </is>
      </c>
      <c r="B57" s="163">
        <f t="array" ref="B57">SUM(B53:B56)</f>
        <v/>
      </c>
      <c r="C57" s="163">
        <f t="array" ref="C57">SUM(C53:C56)</f>
        <v/>
      </c>
      <c r="D57" s="163">
        <f t="array" ref="D57">SUM(D53:D56)</f>
        <v/>
      </c>
      <c r="E57" s="163">
        <f t="array" ref="E57">SUM(E53:E56)</f>
        <v/>
      </c>
      <c r="F57" s="163">
        <f t="array" ref="F57">SUM(F53:F56)</f>
        <v/>
      </c>
      <c r="G57" s="163">
        <f t="array" ref="G57">SUM(G53:G56)</f>
        <v/>
      </c>
      <c r="H57" s="163">
        <f t="array" ref="H57">SUM(H53:H56)</f>
        <v/>
      </c>
      <c r="I57" s="163">
        <f t="array" ref="I57">SUM(I53:I56)</f>
        <v/>
      </c>
      <c r="J57" s="161">
        <f t="array" ref="J57">SUM(B57:I57)</f>
        <v/>
      </c>
      <c r="K57" s="56" t="inlineStr">
        <is>
          <t>Summa lön + arbetsgivaravgift + pension + försäkring</t>
        </is>
      </c>
      <c r="L57" s="57" t="n"/>
      <c r="M57" s="8" t="n"/>
      <c r="N57" s="142" t="n"/>
      <c r="O57" s="142" t="n"/>
      <c r="P57" s="142" t="n"/>
    </row>
    <row r="58" ht="15" customHeight="1" s="155">
      <c r="A58" s="39" t="n"/>
      <c r="B58" s="159" t="n"/>
      <c r="C58" s="159" t="n"/>
      <c r="D58" s="159" t="n"/>
      <c r="E58" s="159" t="n"/>
      <c r="F58" s="159" t="n"/>
      <c r="G58" s="159" t="n"/>
      <c r="H58" s="159" t="n"/>
      <c r="I58" s="159" t="n"/>
      <c r="J58" s="159" t="n"/>
      <c r="K58" s="41" t="n"/>
      <c r="L58" s="16" t="n"/>
      <c r="M58" s="8" t="n"/>
      <c r="N58" s="142" t="n"/>
      <c r="O58" s="142" t="n"/>
      <c r="P58" s="142" t="n"/>
    </row>
    <row r="59" ht="15" customHeight="1" s="155">
      <c r="A59" s="42" t="inlineStr">
        <is>
          <t>Ingrid Kraappa – arbetsgrad %</t>
        </is>
      </c>
      <c r="B59" s="43" t="n">
        <v>0.2</v>
      </c>
      <c r="C59" s="43" t="n">
        <v>0.2</v>
      </c>
      <c r="D59" s="43" t="n">
        <v>0.2</v>
      </c>
      <c r="E59" s="43" t="n">
        <v>0.2</v>
      </c>
      <c r="F59" s="43" t="n">
        <v>0.7</v>
      </c>
      <c r="G59" s="43" t="n">
        <v>0.7</v>
      </c>
      <c r="H59" s="43" t="n">
        <v>0.7</v>
      </c>
      <c r="I59" s="43" t="n">
        <v>0.7</v>
      </c>
      <c r="J59" s="43">
        <f t="array" ref="J59">AVERAGE(B59:I59)</f>
        <v/>
      </c>
      <c r="K59" s="44" t="inlineStr">
        <is>
          <t>Arbetsgrad kan ändras per månad</t>
        </is>
      </c>
      <c r="L59" s="45" t="n"/>
      <c r="M59" s="8" t="n"/>
      <c r="N59" s="142" t="n"/>
      <c r="O59" s="142" t="n"/>
      <c r="P59" s="142" t="n"/>
    </row>
    <row r="60" ht="15" customHeight="1" s="155">
      <c r="A60" s="31" t="inlineStr">
        <is>
          <t>Ingrid Kraappa– bruttolön</t>
        </is>
      </c>
      <c r="B60" s="159">
        <f>'Inmatning'!$B$47*B59</f>
        <v/>
      </c>
      <c r="C60" s="159">
        <f>'Inmatning'!$B$47*C59</f>
        <v/>
      </c>
      <c r="D60" s="159">
        <f>'Inmatning'!$B$47*D59</f>
        <v/>
      </c>
      <c r="E60" s="159">
        <f>'Inmatning'!$B$47*E59</f>
        <v/>
      </c>
      <c r="F60" s="159">
        <f>'Inmatning'!$B$47*F59</f>
        <v/>
      </c>
      <c r="G60" s="159">
        <f>'Inmatning'!$B$47*G59</f>
        <v/>
      </c>
      <c r="H60" s="159">
        <f>'Inmatning'!$B$47*H59</f>
        <v/>
      </c>
      <c r="I60" s="159">
        <f>'Inmatning'!$B$47*I59</f>
        <v/>
      </c>
      <c r="J60" s="159">
        <f>SUM(B60:I60)</f>
        <v/>
      </c>
      <c r="K60" s="52" t="inlineStr">
        <is>
          <t>Bruttolön hämtas från Inmatning × arbetsgrad; kan skrivas över</t>
        </is>
      </c>
      <c r="L60" s="53" t="n"/>
      <c r="M60" s="8" t="n"/>
      <c r="N60" s="142" t="n"/>
      <c r="O60" s="142" t="n"/>
      <c r="P60" s="142" t="n"/>
    </row>
    <row r="61" ht="15" customHeight="1" s="155">
      <c r="A61" s="31" t="inlineStr">
        <is>
          <t>Ingrid Kraappa – arbetsgivaravgift</t>
        </is>
      </c>
      <c r="B61" s="159">
        <f t="array" ref="B61">B60*B$20</f>
        <v/>
      </c>
      <c r="C61" s="159">
        <f t="array" ref="C61">C60*C$20</f>
        <v/>
      </c>
      <c r="D61" s="159">
        <f t="array" ref="D61">D60*D$20</f>
        <v/>
      </c>
      <c r="E61" s="159">
        <f t="array" ref="E61">E60*E$20</f>
        <v/>
      </c>
      <c r="F61" s="159">
        <f t="array" ref="F61">F60*F$20</f>
        <v/>
      </c>
      <c r="G61" s="159">
        <f t="array" ref="G61">G60*G$20</f>
        <v/>
      </c>
      <c r="H61" s="159">
        <f t="array" ref="H61">H60*H$20</f>
        <v/>
      </c>
      <c r="I61" s="159">
        <f t="array" ref="I61">I60*I$20</f>
        <v/>
      </c>
      <c r="J61" s="159">
        <f t="array" ref="J61">SUM(B61:I61)</f>
        <v/>
      </c>
      <c r="K61" s="52" t="inlineStr">
        <is>
          <t>Bruttolön × arbetsgivaravgift %</t>
        </is>
      </c>
      <c r="L61" s="53" t="n"/>
      <c r="M61" s="8" t="n"/>
      <c r="N61" s="142" t="n"/>
      <c r="O61" s="142" t="n"/>
      <c r="P61" s="142" t="n"/>
    </row>
    <row r="62" ht="15" customHeight="1" s="155">
      <c r="A62" s="31" t="inlineStr">
        <is>
          <t>Ingrid Kraappa – tjänstepension</t>
        </is>
      </c>
      <c r="B62" s="159">
        <f>B60*'Inmatning'!$C$47</f>
        <v/>
      </c>
      <c r="C62" s="159">
        <f>C60*'Inmatning'!$C$47</f>
        <v/>
      </c>
      <c r="D62" s="159">
        <f>D60*'Inmatning'!$C$47</f>
        <v/>
      </c>
      <c r="E62" s="159">
        <f>E60*'Inmatning'!$C$47</f>
        <v/>
      </c>
      <c r="F62" s="159">
        <f>F60*'Inmatning'!$C$47</f>
        <v/>
      </c>
      <c r="G62" s="159">
        <f>G60*'Inmatning'!$C$47</f>
        <v/>
      </c>
      <c r="H62" s="159">
        <f>H60*'Inmatning'!$C$47</f>
        <v/>
      </c>
      <c r="I62" s="159">
        <f>I60*'Inmatning'!$C$47</f>
        <v/>
      </c>
      <c r="J62" s="159">
        <f>SUM(B62:I62)</f>
        <v/>
      </c>
      <c r="K62" s="52" t="inlineStr">
        <is>
          <t>Tjänstepension hämtas från individuell pensionssats; kan skrivas över</t>
        </is>
      </c>
      <c r="L62" s="53" t="n"/>
      <c r="M62" s="8" t="n"/>
      <c r="N62" s="142" t="n"/>
      <c r="O62" s="142" t="n"/>
      <c r="P62" s="142" t="n"/>
    </row>
    <row r="63" ht="15" customHeight="1" s="155">
      <c r="A63" s="31" t="inlineStr">
        <is>
          <t>Ingrid Kraappa – personalförsäkring</t>
        </is>
      </c>
      <c r="B63" s="159">
        <f t="array" ref="B63">B60*B$22</f>
        <v/>
      </c>
      <c r="C63" s="159">
        <f t="array" ref="C63">C60*C$22</f>
        <v/>
      </c>
      <c r="D63" s="159">
        <f t="array" ref="D63">D60*D$22</f>
        <v/>
      </c>
      <c r="E63" s="159">
        <f t="array" ref="E63">E60*E$22</f>
        <v/>
      </c>
      <c r="F63" s="159">
        <f t="array" ref="F63">F60*F$22</f>
        <v/>
      </c>
      <c r="G63" s="159">
        <f t="array" ref="G63">G60*G$22</f>
        <v/>
      </c>
      <c r="H63" s="159">
        <f t="array" ref="H63">H60*H$22</f>
        <v/>
      </c>
      <c r="I63" s="159">
        <f t="array" ref="I63">I60*I$22</f>
        <v/>
      </c>
      <c r="J63" s="159">
        <f t="array" ref="J63">SUM(B63:I63)</f>
        <v/>
      </c>
      <c r="K63" s="52" t="inlineStr">
        <is>
          <t>Bruttolön × personalförsäkring %</t>
        </is>
      </c>
      <c r="L63" s="53" t="n"/>
      <c r="M63" s="8" t="n"/>
      <c r="N63" s="142" t="n"/>
      <c r="O63" s="142" t="n"/>
      <c r="P63" s="142" t="n"/>
    </row>
    <row r="64" ht="15" customHeight="1" s="155">
      <c r="A64" s="54" t="inlineStr">
        <is>
          <t>Ingrid Kraappa– total personalkostnad</t>
        </is>
      </c>
      <c r="B64" s="161">
        <f t="array" ref="B64">SUM(B60:B63)</f>
        <v/>
      </c>
      <c r="C64" s="161">
        <f t="array" ref="C64">SUM(C60:C63)</f>
        <v/>
      </c>
      <c r="D64" s="161">
        <f t="array" ref="D64">SUM(D60:D63)</f>
        <v/>
      </c>
      <c r="E64" s="161">
        <f t="array" ref="E64">SUM(E60:E63)</f>
        <v/>
      </c>
      <c r="F64" s="161">
        <f t="array" ref="F64">SUM(F60:F63)</f>
        <v/>
      </c>
      <c r="G64" s="161">
        <f t="array" ref="G64">SUM(G60:G63)</f>
        <v/>
      </c>
      <c r="H64" s="161">
        <f t="array" ref="H64">SUM(H60:H63)</f>
        <v/>
      </c>
      <c r="I64" s="161">
        <f t="array" ref="I64">SUM(I60:I63)</f>
        <v/>
      </c>
      <c r="J64" s="161">
        <f t="array" ref="J64">SUM(B64:I64)</f>
        <v/>
      </c>
      <c r="K64" s="56" t="inlineStr">
        <is>
          <t>Summa lön + arbetsgivaravgift + pension + försäkring</t>
        </is>
      </c>
      <c r="L64" s="57" t="n"/>
      <c r="M64" s="8" t="n"/>
      <c r="N64" s="142" t="n"/>
      <c r="O64" s="142" t="n"/>
      <c r="P64" s="142" t="n"/>
    </row>
    <row r="65" ht="15" customHeight="1" s="155">
      <c r="A65" s="39" t="n"/>
      <c r="B65" s="159" t="n"/>
      <c r="C65" s="159" t="n"/>
      <c r="D65" s="159" t="n"/>
      <c r="E65" s="159" t="n"/>
      <c r="F65" s="159" t="n"/>
      <c r="G65" s="159" t="n"/>
      <c r="H65" s="159" t="n"/>
      <c r="I65" s="159" t="n"/>
      <c r="J65" s="159" t="n"/>
      <c r="K65" s="41" t="n"/>
      <c r="L65" s="16" t="n"/>
      <c r="M65" s="8" t="n"/>
      <c r="N65" s="142" t="n"/>
      <c r="O65" s="142" t="n"/>
      <c r="P65" s="142" t="n"/>
    </row>
    <row r="66" ht="15" customHeight="1" s="155">
      <c r="A66" s="31" t="inlineStr">
        <is>
          <t>Summa personal</t>
        </is>
      </c>
      <c r="B66" s="159">
        <f>SUM(B29,B36,B43,B50,B57,B64)</f>
        <v/>
      </c>
      <c r="C66" s="159">
        <f>SUM(C29,C36,C43,C50,C57,C64)</f>
        <v/>
      </c>
      <c r="D66" s="159">
        <f>SUM(D29,D36,D43,D50,D57,D64)</f>
        <v/>
      </c>
      <c r="E66" s="159">
        <f>SUM(E29,E36,E43,E50,E57,E64)</f>
        <v/>
      </c>
      <c r="F66" s="159">
        <f>SUM(F29,F36,F43,F50,F57,F64)</f>
        <v/>
      </c>
      <c r="G66" s="159">
        <f>SUM(G29,G36,G43,G50,G57,G64)</f>
        <v/>
      </c>
      <c r="H66" s="159">
        <f>SUM(H29,H36,H43,H50,H57,H64)</f>
        <v/>
      </c>
      <c r="I66" s="159">
        <f>SUM(I29,I36,I43,I50,I57,I64)</f>
        <v/>
      </c>
      <c r="J66" s="159">
        <f>SUM(B66:I66)</f>
        <v/>
      </c>
      <c r="K66" s="41" t="n"/>
      <c r="L66" s="16" t="n"/>
      <c r="M66" s="8" t="n"/>
      <c r="N66" s="142" t="n"/>
      <c r="O66" s="142" t="n"/>
      <c r="P66" s="142" t="n"/>
    </row>
    <row r="67" ht="15" customHeight="1" s="155">
      <c r="A67" s="39" t="n"/>
      <c r="B67" s="159" t="n"/>
      <c r="C67" s="159" t="n"/>
      <c r="D67" s="159" t="n"/>
      <c r="E67" s="159" t="n"/>
      <c r="F67" s="159" t="n"/>
      <c r="G67" s="159" t="n"/>
      <c r="H67" s="159" t="n"/>
      <c r="I67" s="159" t="n"/>
      <c r="J67" s="159" t="n"/>
      <c r="K67" s="41" t="n"/>
      <c r="L67" s="16" t="n"/>
      <c r="M67" s="8" t="n"/>
      <c r="N67" s="142" t="n"/>
      <c r="O67" s="142" t="n"/>
      <c r="P67" s="142" t="n"/>
    </row>
    <row r="68" ht="22" customHeight="1" s="155">
      <c r="A68" s="58" t="inlineStr">
        <is>
          <t>ABONNEMANG &amp; MJUKVARA</t>
        </is>
      </c>
      <c r="B68" s="162" t="n"/>
      <c r="C68" s="162" t="n"/>
      <c r="D68" s="162" t="n"/>
      <c r="E68" s="162" t="n"/>
      <c r="F68" s="162" t="n"/>
      <c r="G68" s="162" t="n"/>
      <c r="H68" s="162" t="n"/>
      <c r="I68" s="162" t="n"/>
      <c r="J68" s="162" t="n"/>
      <c r="K68" s="62" t="n"/>
      <c r="L68" s="38" t="n"/>
      <c r="M68" s="8" t="n"/>
      <c r="N68" s="142" t="n"/>
      <c r="O68" s="142" t="n"/>
      <c r="P68" s="142" t="n"/>
    </row>
    <row r="69" ht="15" customHeight="1" s="155">
      <c r="A69" s="31" t="inlineStr">
        <is>
          <t>Adobe Creative Suite</t>
        </is>
      </c>
      <c r="B69" s="164" t="n">
        <v>1500</v>
      </c>
      <c r="C69" s="164" t="n">
        <v>1500</v>
      </c>
      <c r="D69" s="164" t="n">
        <v>1500</v>
      </c>
      <c r="E69" s="164" t="n">
        <v>1500</v>
      </c>
      <c r="F69" s="164" t="n">
        <v>1500</v>
      </c>
      <c r="G69" s="164" t="n">
        <v>1500</v>
      </c>
      <c r="H69" s="164" t="n">
        <v>1500</v>
      </c>
      <c r="I69" s="164" t="n">
        <v>1500</v>
      </c>
      <c r="J69" s="164">
        <f t="array" ref="J69">SUM(B69:I69)</f>
        <v/>
      </c>
      <c r="K69" s="33" t="inlineStr">
        <is>
          <t>Manuellt inmatat</t>
        </is>
      </c>
      <c r="L69" s="16" t="n"/>
      <c r="M69" s="8" t="n"/>
      <c r="N69" s="142" t="n"/>
      <c r="O69" s="142" t="n"/>
      <c r="P69" s="142" t="n"/>
    </row>
    <row r="70" ht="15" customHeight="1" s="155">
      <c r="A70" s="31" t="inlineStr">
        <is>
          <t>Google Workspace</t>
        </is>
      </c>
      <c r="B70" s="159">
        <f t="array" ref="B70">'Inmatning'!$B$32*'Inmatning'!$B$33</f>
        <v/>
      </c>
      <c r="C70" s="159">
        <f t="array" ref="C70">'Inmatning'!$B$32*'Inmatning'!$B$33</f>
        <v/>
      </c>
      <c r="D70" s="159">
        <f t="array" ref="D70">'Inmatning'!$B$32*'Inmatning'!$B$33</f>
        <v/>
      </c>
      <c r="E70" s="159">
        <f t="array" ref="E70">'Inmatning'!$B$32*'Inmatning'!$B$33</f>
        <v/>
      </c>
      <c r="F70" s="159">
        <f t="array" ref="F70">'Inmatning'!$B$32*'Inmatning'!$B$33</f>
        <v/>
      </c>
      <c r="G70" s="159">
        <f t="array" ref="G70">'Inmatning'!$B$32*'Inmatning'!$B$33</f>
        <v/>
      </c>
      <c r="H70" s="159">
        <f t="array" ref="H70">'Inmatning'!$B$32*'Inmatning'!$B$33</f>
        <v/>
      </c>
      <c r="I70" s="159">
        <f t="array" ref="I70">'Inmatning'!$B$32*'Inmatning'!$B$33</f>
        <v/>
      </c>
      <c r="J70" s="159">
        <f t="array" ref="J70">SUM(B70:I70)</f>
        <v/>
      </c>
      <c r="K70" s="33" t="inlineStr">
        <is>
          <t>Från Inmatning: per licens × antal licenser</t>
        </is>
      </c>
      <c r="L70" s="16" t="n"/>
      <c r="M70" s="8" t="n"/>
      <c r="N70" s="142" t="n"/>
      <c r="O70" s="142" t="n"/>
      <c r="P70" s="142" t="n"/>
    </row>
    <row r="71" ht="15" customHeight="1" s="155">
      <c r="A71" s="31" t="inlineStr">
        <is>
          <t>AI bildredigeringsprogram</t>
        </is>
      </c>
      <c r="B71" s="159">
        <f t="array" ref="B71">'Inmatning'!$B$35</f>
        <v/>
      </c>
      <c r="C71" s="159">
        <f t="array" ref="C71">'Inmatning'!$B$35</f>
        <v/>
      </c>
      <c r="D71" s="159">
        <f t="array" ref="D71">'Inmatning'!$B$35</f>
        <v/>
      </c>
      <c r="E71" s="159">
        <f t="array" ref="E71">'Inmatning'!$B$35</f>
        <v/>
      </c>
      <c r="F71" s="159">
        <f t="array" ref="F71">'Inmatning'!$B$35</f>
        <v/>
      </c>
      <c r="G71" s="159">
        <f t="array" ref="G71">'Inmatning'!$B$35</f>
        <v/>
      </c>
      <c r="H71" s="159">
        <f t="array" ref="H71">'Inmatning'!$B$35</f>
        <v/>
      </c>
      <c r="I71" s="159">
        <f t="array" ref="I71">'Inmatning'!$B$35</f>
        <v/>
      </c>
      <c r="J71" s="159">
        <f t="array" ref="J71">SUM(B71:I71)</f>
        <v/>
      </c>
      <c r="K71" s="33" t="inlineStr">
        <is>
          <t>Från Inmatning</t>
        </is>
      </c>
      <c r="L71" s="16" t="n"/>
      <c r="M71" s="8" t="n"/>
      <c r="N71" s="142" t="n"/>
      <c r="O71" s="142" t="n"/>
      <c r="P71" s="142" t="n"/>
    </row>
    <row r="72" ht="22" customHeight="1" s="155">
      <c r="A72" s="64" t="inlineStr">
        <is>
          <t>AI videoredigeringsprogram</t>
        </is>
      </c>
      <c r="B72" s="165">
        <f t="array" ref="B72">'Inmatning'!$B$36</f>
        <v/>
      </c>
      <c r="C72" s="165">
        <f t="array" ref="C72">'Inmatning'!$B$36</f>
        <v/>
      </c>
      <c r="D72" s="165">
        <f t="array" ref="D72">'Inmatning'!$B$36</f>
        <v/>
      </c>
      <c r="E72" s="165">
        <f t="array" ref="E72">'Inmatning'!$B$36</f>
        <v/>
      </c>
      <c r="F72" s="165">
        <f t="array" ref="F72">'Inmatning'!$B$36</f>
        <v/>
      </c>
      <c r="G72" s="165">
        <f t="array" ref="G72">'Inmatning'!$B$36</f>
        <v/>
      </c>
      <c r="H72" s="165">
        <f t="array" ref="H72">'Inmatning'!$B$36</f>
        <v/>
      </c>
      <c r="I72" s="165">
        <f t="array" ref="I72">'Inmatning'!$B$36</f>
        <v/>
      </c>
      <c r="J72" s="165">
        <f t="array" ref="J72">SUM(B72:I72)</f>
        <v/>
      </c>
      <c r="K72" s="66" t="inlineStr">
        <is>
          <t>Från Inmatning</t>
        </is>
      </c>
      <c r="L72" s="38" t="n"/>
      <c r="M72" s="8" t="n"/>
      <c r="N72" s="142" t="n"/>
      <c r="O72" s="142" t="n"/>
      <c r="P72" s="142" t="n"/>
    </row>
    <row r="73" ht="15" customHeight="1" s="155">
      <c r="A73" s="31" t="inlineStr">
        <is>
          <t>Företagsförsäkring</t>
        </is>
      </c>
      <c r="B73" s="164">
        <f t="array" ref="B73">'Inmatning'!$B$7</f>
        <v/>
      </c>
      <c r="C73" s="164">
        <f t="array" ref="C73">'Inmatning'!$B$7</f>
        <v/>
      </c>
      <c r="D73" s="164">
        <f t="array" ref="D73">'Inmatning'!$B$7</f>
        <v/>
      </c>
      <c r="E73" s="164">
        <f t="array" ref="E73">'Inmatning'!$B$7</f>
        <v/>
      </c>
      <c r="F73" s="164">
        <f t="array" ref="F73">'Inmatning'!$B$7</f>
        <v/>
      </c>
      <c r="G73" s="164">
        <f t="array" ref="G73">'Inmatning'!$B$7</f>
        <v/>
      </c>
      <c r="H73" s="164">
        <f t="array" ref="H73">'Inmatning'!$B$7</f>
        <v/>
      </c>
      <c r="I73" s="164">
        <f t="array" ref="I73">'Inmatning'!$B$7</f>
        <v/>
      </c>
      <c r="J73" s="164">
        <f t="array" ref="J73">SUM(B73:I73)</f>
        <v/>
      </c>
      <c r="K73" s="33" t="inlineStr">
        <is>
          <t>Manuellt inmatat</t>
        </is>
      </c>
      <c r="L73" s="16" t="n"/>
      <c r="M73" s="8" t="n"/>
      <c r="N73" s="142" t="n"/>
      <c r="O73" s="142" t="n"/>
      <c r="P73" s="142" t="n"/>
    </row>
    <row r="74" ht="22" customHeight="1" s="155">
      <c r="A74" s="67" t="n"/>
      <c r="B74" s="68">
        <f t="array" ref="B74">'Inmatning'!$B$8*'Inmatning'!$B$9</f>
        <v/>
      </c>
      <c r="C74" s="68">
        <f t="array" ref="C74">'Inmatning'!$B$8*'Inmatning'!$B$9</f>
        <v/>
      </c>
      <c r="D74" s="68">
        <f t="array" ref="D74">'Inmatning'!$B$8*'Inmatning'!$B$9</f>
        <v/>
      </c>
      <c r="E74" s="68">
        <f t="array" ref="E74">'Inmatning'!$B$8*'Inmatning'!$B$9</f>
        <v/>
      </c>
      <c r="F74" s="68">
        <f t="array" ref="F74">'Inmatning'!$B$8*'Inmatning'!$B$9</f>
        <v/>
      </c>
      <c r="G74" s="68">
        <f t="array" ref="G74">'Inmatning'!$B$8*'Inmatning'!$B$9</f>
        <v/>
      </c>
      <c r="H74" s="68">
        <f t="array" ref="H74">'Inmatning'!$B$8*'Inmatning'!$B$9</f>
        <v/>
      </c>
      <c r="I74" s="68">
        <f t="array" ref="I74">'Inmatning'!$B$8*'Inmatning'!$B$9</f>
        <v/>
      </c>
      <c r="J74" s="69">
        <f t="array" ref="J74">SUM(B74:I74)</f>
        <v/>
      </c>
      <c r="K74" s="70" t="inlineStr">
        <is>
          <t>Från Inmatning: per lina × antal linor</t>
        </is>
      </c>
      <c r="L74" s="29" t="n"/>
      <c r="M74" s="8" t="n"/>
      <c r="N74" s="142" t="n"/>
      <c r="O74" s="142" t="n"/>
      <c r="P74" s="142" t="n"/>
    </row>
    <row r="75" ht="15" customHeight="1" s="155">
      <c r="A75" s="31" t="inlineStr">
        <is>
          <t>Representation</t>
        </is>
      </c>
      <c r="B75" s="159" t="n">
        <v>1000</v>
      </c>
      <c r="C75" s="159" t="n">
        <v>1000</v>
      </c>
      <c r="D75" s="159" t="n">
        <v>1000</v>
      </c>
      <c r="E75" s="159" t="n">
        <v>1000</v>
      </c>
      <c r="F75" s="159" t="n">
        <v>1000</v>
      </c>
      <c r="G75" s="159" t="n">
        <v>1000</v>
      </c>
      <c r="H75" s="159" t="n">
        <v>1000</v>
      </c>
      <c r="I75" s="159" t="n">
        <v>1000</v>
      </c>
      <c r="J75" s="159">
        <f t="array" ref="J75">SUM(B75:I75)</f>
        <v/>
      </c>
      <c r="K75" s="33" t="inlineStr">
        <is>
          <t>Från Inmatning</t>
        </is>
      </c>
      <c r="L75" s="16" t="n"/>
      <c r="M75" s="8" t="n"/>
      <c r="N75" s="142" t="n"/>
      <c r="O75" s="142" t="n"/>
      <c r="P75" s="142" t="n"/>
    </row>
    <row r="76" ht="15" customHeight="1" s="155">
      <c r="A76" s="31" t="inlineStr">
        <is>
          <t>Telefonabbonemang</t>
        </is>
      </c>
      <c r="B76" s="159" t="n">
        <v>3000</v>
      </c>
      <c r="C76" s="159" t="n">
        <v>3000</v>
      </c>
      <c r="D76" s="159" t="n">
        <v>3000</v>
      </c>
      <c r="E76" s="159" t="n">
        <v>3000</v>
      </c>
      <c r="F76" s="159" t="n">
        <v>3000</v>
      </c>
      <c r="G76" s="159" t="n">
        <v>3000</v>
      </c>
      <c r="H76" s="159" t="n">
        <v>3000</v>
      </c>
      <c r="I76" s="159" t="n">
        <v>3000</v>
      </c>
      <c r="J76" s="159">
        <f t="array" ref="J76">SUM(B76:I76)</f>
        <v/>
      </c>
      <c r="K76" s="33" t="inlineStr">
        <is>
          <t>Från Inmatning</t>
        </is>
      </c>
      <c r="L76" s="16" t="n"/>
      <c r="M76" s="8" t="n"/>
      <c r="N76" s="142" t="n"/>
      <c r="O76" s="142" t="n"/>
      <c r="P76" s="142" t="n"/>
    </row>
    <row r="77" ht="15" customHeight="1" s="155">
      <c r="A77" s="31" t="inlineStr">
        <is>
          <t>Bokföring/Fakturering</t>
        </is>
      </c>
      <c r="B77" s="164">
        <f t="array" ref="B77">'Inmatning'!$B$16</f>
        <v/>
      </c>
      <c r="C77" s="164">
        <f t="array" ref="C77">'Inmatning'!$B$16</f>
        <v/>
      </c>
      <c r="D77" s="164">
        <f t="array" ref="D77">'Inmatning'!$B$16</f>
        <v/>
      </c>
      <c r="E77" s="164">
        <f t="array" ref="E77">'Inmatning'!$B$16</f>
        <v/>
      </c>
      <c r="F77" s="164">
        <f t="array" ref="F77">'Inmatning'!$B$16</f>
        <v/>
      </c>
      <c r="G77" s="164">
        <f t="array" ref="G77">'Inmatning'!$B$16</f>
        <v/>
      </c>
      <c r="H77" s="164">
        <f t="array" ref="H77">'Inmatning'!$B$16</f>
        <v/>
      </c>
      <c r="I77" s="164">
        <f t="array" ref="I77">'Inmatning'!$B$16</f>
        <v/>
      </c>
      <c r="J77" s="164">
        <f t="array" ref="J77">SUM(B77:I77)</f>
        <v/>
      </c>
      <c r="K77" s="33" t="inlineStr">
        <is>
          <t>Från Inmatning</t>
        </is>
      </c>
      <c r="L77" s="16" t="n"/>
      <c r="M77" s="8" t="n"/>
      <c r="N77" s="142" t="n"/>
      <c r="O77" s="142" t="n"/>
      <c r="P77" s="142" t="n"/>
    </row>
    <row r="78" ht="22" customHeight="1" s="155">
      <c r="A78" s="71" t="inlineStr">
        <is>
          <t>Projektstyrning</t>
        </is>
      </c>
      <c r="B78" s="68">
        <f t="array" ref="B78">'Inmatning'!$B$17</f>
        <v/>
      </c>
      <c r="C78" s="68">
        <f t="array" ref="C78">'Inmatning'!$B$17</f>
        <v/>
      </c>
      <c r="D78" s="68">
        <f t="array" ref="D78">'Inmatning'!$B$17</f>
        <v/>
      </c>
      <c r="E78" s="68">
        <f t="array" ref="E78">'Inmatning'!$B$17</f>
        <v/>
      </c>
      <c r="F78" s="68">
        <f t="array" ref="F78">'Inmatning'!$B$17</f>
        <v/>
      </c>
      <c r="G78" s="68">
        <f t="array" ref="G78">'Inmatning'!$B$17</f>
        <v/>
      </c>
      <c r="H78" s="68">
        <f t="array" ref="H78">'Inmatning'!$B$17</f>
        <v/>
      </c>
      <c r="I78" s="68">
        <f t="array" ref="I78">'Inmatning'!$B$17</f>
        <v/>
      </c>
      <c r="J78" s="69">
        <f t="array" ref="J78">SUM(B78:I78)</f>
        <v/>
      </c>
      <c r="K78" s="70" t="inlineStr">
        <is>
          <t>Från Inmatning</t>
        </is>
      </c>
      <c r="L78" s="29" t="n"/>
      <c r="M78" s="8" t="n"/>
      <c r="N78" s="142" t="n"/>
      <c r="O78" s="142" t="n"/>
      <c r="P78" s="142" t="n"/>
    </row>
    <row r="79" ht="15" customHeight="1" s="155">
      <c r="A79" s="72" t="inlineStr">
        <is>
          <t>Summa abonnemang &amp; mjukvara</t>
        </is>
      </c>
      <c r="B79" s="166">
        <f t="array" ref="B79">SUM(B69:B78)</f>
        <v/>
      </c>
      <c r="C79" s="166">
        <f t="array" ref="C79">SUM(C69:C78)</f>
        <v/>
      </c>
      <c r="D79" s="166">
        <f t="array" ref="D79">SUM(D69:D78)</f>
        <v/>
      </c>
      <c r="E79" s="166">
        <f t="array" ref="E79">SUM(E69:E78)</f>
        <v/>
      </c>
      <c r="F79" s="166">
        <f t="array" ref="F79">SUM(F69:F78)</f>
        <v/>
      </c>
      <c r="G79" s="166">
        <f t="array" ref="G79">SUM(G69:G78)</f>
        <v/>
      </c>
      <c r="H79" s="166">
        <f t="array" ref="H79">SUM(H69:H78)</f>
        <v/>
      </c>
      <c r="I79" s="166">
        <f t="array" ref="I79">SUM(I69:I78)</f>
        <v/>
      </c>
      <c r="J79" s="166">
        <f t="array" ref="J79">SUM(B79:I79)</f>
        <v/>
      </c>
      <c r="K79" s="74" t="n"/>
      <c r="L79" s="16" t="n"/>
      <c r="M79" s="8" t="n"/>
      <c r="N79" s="142" t="n"/>
      <c r="O79" s="142" t="n"/>
      <c r="P79" s="142" t="n"/>
    </row>
    <row r="80" ht="26.85" customHeight="1" s="155">
      <c r="A80" s="39" t="n"/>
      <c r="B80" s="159" t="n"/>
      <c r="C80" s="159" t="n"/>
      <c r="D80" s="159" t="n"/>
      <c r="E80" s="159" t="n"/>
      <c r="F80" s="159" t="n"/>
      <c r="G80" s="159" t="n"/>
      <c r="H80" s="159" t="n"/>
      <c r="I80" s="159" t="n"/>
      <c r="J80" s="159" t="n"/>
      <c r="K80" s="41" t="n"/>
      <c r="L80" s="16" t="n"/>
      <c r="M80" s="8" t="n"/>
      <c r="N80" s="142" t="n"/>
      <c r="O80" s="142" t="n"/>
      <c r="P80" s="142" t="n"/>
    </row>
    <row r="81" ht="15" customHeight="1" s="155">
      <c r="A81" s="31" t="inlineStr">
        <is>
          <t>LOKAL &amp; DRIFT</t>
        </is>
      </c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41" t="n"/>
      <c r="L81" s="16" t="n"/>
      <c r="M81" s="8" t="n"/>
      <c r="N81" s="142" t="n"/>
      <c r="O81" s="142" t="n"/>
      <c r="P81" s="142" t="n"/>
    </row>
    <row r="82" ht="15" customHeight="1" s="155">
      <c r="A82" s="76" t="inlineStr">
        <is>
          <t>Kontorshyra</t>
        </is>
      </c>
      <c r="B82" s="167">
        <f t="array" ref="B82">'Inmatning'!$B$19</f>
        <v/>
      </c>
      <c r="C82" s="167">
        <f t="array" ref="C82">'Inmatning'!$B$19</f>
        <v/>
      </c>
      <c r="D82" s="167">
        <f t="array" ref="D82">'Inmatning'!$B$19</f>
        <v/>
      </c>
      <c r="E82" s="167">
        <f t="array" ref="E82">'Inmatning'!$B$19</f>
        <v/>
      </c>
      <c r="F82" s="167">
        <f t="array" ref="F82">'Inmatning'!$B$19</f>
        <v/>
      </c>
      <c r="G82" s="167">
        <f t="array" ref="G82">'Inmatning'!$B$19</f>
        <v/>
      </c>
      <c r="H82" s="167">
        <f t="array" ref="H82">'Inmatning'!$B$19</f>
        <v/>
      </c>
      <c r="I82" s="167">
        <f t="array" ref="I82">'Inmatning'!$B$19</f>
        <v/>
      </c>
      <c r="J82" s="167">
        <f t="array" ref="J82">SUM(B82:I82)</f>
        <v/>
      </c>
      <c r="K82" s="78" t="inlineStr">
        <is>
          <t>Manuellt inmatat</t>
        </is>
      </c>
      <c r="L82" s="16" t="n"/>
      <c r="M82" s="8" t="n"/>
      <c r="N82" s="142" t="n"/>
      <c r="O82" s="142" t="n"/>
      <c r="P82" s="142" t="n"/>
    </row>
    <row r="83" ht="22" customHeight="1" s="155">
      <c r="A83" s="79" t="inlineStr">
        <is>
          <t>Förbrukning/kaffe/print/städ</t>
        </is>
      </c>
      <c r="B83" s="168">
        <f t="array" ref="B83">'Inmatning'!$B$18</f>
        <v/>
      </c>
      <c r="C83" s="168">
        <f t="array" ref="C83">'Inmatning'!$B$18</f>
        <v/>
      </c>
      <c r="D83" s="168">
        <f t="array" ref="D83">'Inmatning'!$B$18</f>
        <v/>
      </c>
      <c r="E83" s="168">
        <f t="array" ref="E83">'Inmatning'!$B$18</f>
        <v/>
      </c>
      <c r="F83" s="168">
        <f t="array" ref="F83">'Inmatning'!$B$18</f>
        <v/>
      </c>
      <c r="G83" s="168">
        <f t="array" ref="G83">'Inmatning'!$B$18</f>
        <v/>
      </c>
      <c r="H83" s="168">
        <f t="array" ref="H83">'Inmatning'!$B$18</f>
        <v/>
      </c>
      <c r="I83" s="168">
        <f t="array" ref="I83">'Inmatning'!$B$18</f>
        <v/>
      </c>
      <c r="J83" s="168">
        <f t="array" ref="J83">SUM(B83:I83)</f>
        <v/>
      </c>
      <c r="K83" s="81" t="inlineStr">
        <is>
          <t>Från Inmatning</t>
        </is>
      </c>
      <c r="L83" s="82" t="n"/>
      <c r="M83" s="8" t="n"/>
      <c r="N83" s="142" t="n"/>
      <c r="O83" s="142" t="n"/>
      <c r="P83" s="142" t="n"/>
    </row>
    <row r="84" ht="20" customHeight="1" s="155">
      <c r="A84" s="83" t="inlineStr">
        <is>
          <t>Summa lokal &amp; drift</t>
        </is>
      </c>
      <c r="B84" s="169">
        <f t="array" ref="B84">SUM(B82:B83)</f>
        <v/>
      </c>
      <c r="C84" s="169">
        <f t="array" ref="C84">SUM(C82:C83)</f>
        <v/>
      </c>
      <c r="D84" s="169">
        <f t="array" ref="D84">SUM(D82:D83)</f>
        <v/>
      </c>
      <c r="E84" s="169">
        <f t="array" ref="E84">SUM(E82:E83)</f>
        <v/>
      </c>
      <c r="F84" s="169">
        <f t="array" ref="F84">SUM(F82:F83)</f>
        <v/>
      </c>
      <c r="G84" s="169">
        <f t="array" ref="G84">SUM(G82:G83)</f>
        <v/>
      </c>
      <c r="H84" s="169">
        <f t="array" ref="H84">SUM(H82:H83)</f>
        <v/>
      </c>
      <c r="I84" s="169">
        <f t="array" ref="I84">SUM(I82:I83)</f>
        <v/>
      </c>
      <c r="J84" s="169">
        <f t="array" ref="J84">SUM(B84:I84)</f>
        <v/>
      </c>
      <c r="K84" s="85" t="n"/>
      <c r="L84" s="57" t="n"/>
      <c r="M84" s="8" t="n"/>
      <c r="N84" s="142" t="n"/>
      <c r="O84" s="142" t="n"/>
      <c r="P84" s="142" t="n"/>
    </row>
    <row r="85" ht="20" customHeight="1" s="155">
      <c r="A85" s="86" t="n"/>
      <c r="B85" s="87" t="n"/>
      <c r="C85" s="87" t="n"/>
      <c r="D85" s="87" t="n"/>
      <c r="E85" s="87" t="n"/>
      <c r="F85" s="87" t="n"/>
      <c r="G85" s="87" t="n"/>
      <c r="H85" s="87" t="n"/>
      <c r="I85" s="87" t="n"/>
      <c r="J85" s="87" t="n"/>
      <c r="K85" s="85" t="n"/>
      <c r="L85" s="57" t="n"/>
      <c r="M85" s="8" t="n"/>
      <c r="N85" s="142" t="n"/>
      <c r="O85" s="142" t="n"/>
      <c r="P85" s="142" t="n"/>
    </row>
    <row r="86" ht="20" customHeight="1" s="155">
      <c r="A86" s="83" t="inlineStr">
        <is>
          <t>AVSKRIVNINGAR &amp; INVESTERINGAR</t>
        </is>
      </c>
      <c r="B86" s="87" t="n"/>
      <c r="C86" s="87" t="n"/>
      <c r="D86" s="87" t="n"/>
      <c r="E86" s="87" t="n"/>
      <c r="F86" s="87" t="n"/>
      <c r="G86" s="87" t="n"/>
      <c r="H86" s="87" t="n"/>
      <c r="I86" s="87" t="n"/>
      <c r="J86" s="87" t="n"/>
      <c r="K86" s="85" t="n"/>
      <c r="L86" s="57" t="n"/>
      <c r="M86" s="8" t="n"/>
      <c r="N86" s="142" t="n"/>
      <c r="O86" s="142" t="n"/>
      <c r="P86" s="142" t="n"/>
    </row>
    <row r="87" ht="29" customHeight="1" s="155">
      <c r="A87" s="83" t="inlineStr">
        <is>
          <t>Avskrivning hårdvara (P&amp;L)</t>
        </is>
      </c>
      <c r="B87" s="170">
        <f t="array" ref="B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C87" s="170">
        <f t="array" ref="C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D87" s="170">
        <f t="array" ref="D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E87" s="170">
        <f t="array" ref="E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F87" s="170">
        <f t="array" ref="F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G87" s="170">
        <f t="array" ref="G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H87" s="170">
        <f t="array" ref="H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I87" s="170">
        <f t="array" ref="I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J87" s="170">
        <f t="array" ref="J87">SUM(B87:I87)</f>
        <v/>
      </c>
      <c r="K87" s="89" t="inlineStr">
        <is>
          <t>Beräknas på hårdvara/CAPEX över avskrivningstid enligt Inmatning</t>
        </is>
      </c>
      <c r="L87" s="57" t="n"/>
      <c r="M87" s="8" t="n"/>
      <c r="N87" s="142" t="n"/>
      <c r="O87" s="142" t="n"/>
      <c r="P87" s="142" t="n"/>
    </row>
    <row r="88" ht="20" customHeight="1" s="155">
      <c r="A88" s="90" t="inlineStr">
        <is>
          <t>Engångsinvestering hårdvara (kassa)</t>
        </is>
      </c>
      <c r="B88" s="91">
        <f t="array" ref="B88">(('Inmatning'!$B$2*'Inmatning'!$B$20)+('Inmatning'!$B$2*'Inmatning'!$B$21)+('Inmatning'!$B$2*'Inmatning'!$B$22)+('Inmatning'!$B$2*'Inmatning'!$B$23)+('Inmatning'!$B$2*'Inmatning'!$B$24)+('Inmatning'!$B$2*'Inmatning'!$B$25)+'Inmatning'!$B$26+'Inmatning'!$B$27+'Inmatning'!$B$28)</f>
        <v/>
      </c>
      <c r="C88" s="91" t="n">
        <v>0</v>
      </c>
      <c r="D88" s="91" t="n">
        <v>0</v>
      </c>
      <c r="E88" s="91" t="n">
        <v>0</v>
      </c>
      <c r="F88" s="91" t="n">
        <v>0</v>
      </c>
      <c r="G88" s="91" t="n">
        <v>0</v>
      </c>
      <c r="H88" s="91" t="n">
        <v>0</v>
      </c>
      <c r="I88" s="91" t="n">
        <v>0</v>
      </c>
      <c r="J88" s="91">
        <f t="array" ref="J88">SUM(B88:I88)</f>
        <v/>
      </c>
      <c r="K88" s="92" t="inlineStr">
        <is>
          <t>Läggs som kassautflöde i maj, ej i P&amp;L-resultat</t>
        </is>
      </c>
      <c r="L88" s="57" t="n"/>
      <c r="M88" s="8" t="n"/>
      <c r="N88" s="142" t="n"/>
      <c r="O88" s="142" t="n"/>
      <c r="P88" s="142" t="n"/>
    </row>
    <row r="89" ht="22" customHeight="1" s="155">
      <c r="A89" s="93" t="n"/>
      <c r="B89" s="94" t="n"/>
      <c r="C89" s="94" t="n"/>
      <c r="D89" s="94" t="n"/>
      <c r="E89" s="94" t="n"/>
      <c r="F89" s="94" t="n"/>
      <c r="G89" s="94" t="n"/>
      <c r="H89" s="94" t="n"/>
      <c r="I89" s="95" t="n"/>
      <c r="J89" s="96" t="n"/>
      <c r="K89" s="97" t="n"/>
      <c r="L89" s="98" t="n"/>
      <c r="M89" s="142" t="n"/>
      <c r="N89" s="142" t="n"/>
      <c r="O89" s="142" t="n"/>
      <c r="P89" s="142" t="n"/>
    </row>
    <row r="90" ht="20" customHeight="1" s="155">
      <c r="A90" s="99" t="inlineStr">
        <is>
          <t>SUMMERING</t>
        </is>
      </c>
      <c r="B90" s="100" t="n"/>
      <c r="C90" s="100" t="n"/>
      <c r="D90" s="100" t="n"/>
      <c r="E90" s="100" t="n"/>
      <c r="F90" s="100" t="n"/>
      <c r="G90" s="100" t="n"/>
      <c r="H90" s="100" t="n"/>
      <c r="I90" s="101" t="n"/>
      <c r="J90" s="102" t="n"/>
      <c r="K90" s="103" t="n"/>
      <c r="L90" s="8" t="n"/>
      <c r="M90" s="142" t="n"/>
      <c r="N90" s="142" t="n"/>
      <c r="O90" s="142" t="n"/>
      <c r="P90" s="142" t="n"/>
    </row>
    <row r="91" ht="29" customHeight="1" s="155">
      <c r="A91" s="104" t="inlineStr">
        <is>
          <t>Summa kostnader (P&amp;L)</t>
        </is>
      </c>
      <c r="B91" s="105">
        <f t="array" ref="B91">SUM(B66,B79,B84,B87)</f>
        <v/>
      </c>
      <c r="C91" s="105">
        <f t="array" ref="C91">SUM(C66,C79,C84,C87)</f>
        <v/>
      </c>
      <c r="D91" s="105">
        <f t="array" ref="D91">SUM(D66,D79,D84,D87)</f>
        <v/>
      </c>
      <c r="E91" s="105">
        <f t="array" ref="E91">SUM(E66,E79,E84,E87)</f>
        <v/>
      </c>
      <c r="F91" s="105">
        <f t="array" ref="F91">SUM(F66,F79,F84,F87)</f>
        <v/>
      </c>
      <c r="G91" s="105">
        <f t="array" ref="G91">SUM(G66,G79,G84,G87)</f>
        <v/>
      </c>
      <c r="H91" s="105">
        <f t="array" ref="H91">SUM(H66,H79,H84,H87)</f>
        <v/>
      </c>
      <c r="I91" s="106">
        <f t="array" ref="I91">SUM(I66,I79,I84,I87)</f>
        <v/>
      </c>
      <c r="J91" s="107">
        <f t="array" ref="J91">SUM(B91:I91)</f>
        <v/>
      </c>
      <c r="K91" s="108" t="inlineStr">
        <is>
          <t>Personal + abonnemang + lokal/drift + avskrivning</t>
        </is>
      </c>
      <c r="L91" s="142" t="n"/>
      <c r="M91" s="142" t="n"/>
      <c r="N91" s="142" t="n"/>
      <c r="O91" s="142" t="n"/>
      <c r="P91" s="142" t="n"/>
    </row>
    <row r="92" ht="20" customHeight="1" s="155">
      <c r="A92" s="104" t="inlineStr">
        <is>
          <t>Resultat före skatt (P&amp;L)</t>
        </is>
      </c>
      <c r="B92" s="105">
        <f t="array" ref="B92">'Hjälptabell'!B2</f>
        <v/>
      </c>
      <c r="C92" s="105">
        <f t="array" ref="C92">'Hjälptabell'!B3</f>
        <v/>
      </c>
      <c r="D92" s="105">
        <f t="array" ref="D92">'Hjälptabell'!B4</f>
        <v/>
      </c>
      <c r="E92" s="105">
        <f t="array" ref="E92">'Hjälptabell'!B5</f>
        <v/>
      </c>
      <c r="F92" s="105">
        <f t="array" ref="F92">'Hjälptabell'!B6</f>
        <v/>
      </c>
      <c r="G92" s="105">
        <f t="array" ref="G92">'Hjälptabell'!B7</f>
        <v/>
      </c>
      <c r="H92" s="105">
        <f t="array" ref="H92">'Hjälptabell'!B8</f>
        <v/>
      </c>
      <c r="I92" s="106">
        <f t="array" ref="I92">'Hjälptabell'!B9</f>
        <v/>
      </c>
      <c r="J92" s="107">
        <f t="array" ref="J92">SUM(B92:I92)</f>
        <v/>
      </c>
      <c r="K92" s="108" t="inlineStr">
        <is>
          <t>Summa intäkter minus summa kostnader</t>
        </is>
      </c>
      <c r="L92" s="142" t="n"/>
      <c r="M92" s="142" t="n"/>
      <c r="N92" s="142" t="n"/>
      <c r="O92" s="142" t="n"/>
      <c r="P92" s="142" t="n"/>
    </row>
    <row r="93" ht="29" customHeight="1" s="155">
      <c r="A93" s="109" t="inlineStr">
        <is>
          <t>Kassaflöde före skatt</t>
        </is>
      </c>
      <c r="B93" s="110">
        <f t="array" ref="B93">'Hjälptabell'!D2</f>
        <v/>
      </c>
      <c r="C93" s="110">
        <f t="array" ref="C93">'Hjälptabell'!D3</f>
        <v/>
      </c>
      <c r="D93" s="110">
        <f t="array" ref="D93">'Hjälptabell'!D4</f>
        <v/>
      </c>
      <c r="E93" s="110">
        <f t="array" ref="E93">'Hjälptabell'!D5</f>
        <v/>
      </c>
      <c r="F93" s="110">
        <f t="array" ref="F93">'Hjälptabell'!D6</f>
        <v/>
      </c>
      <c r="G93" s="110">
        <f t="array" ref="G93">'Hjälptabell'!D7</f>
        <v/>
      </c>
      <c r="H93" s="110">
        <f t="array" ref="H93">'Hjälptabell'!D8</f>
        <v/>
      </c>
      <c r="I93" s="111">
        <f t="array" ref="I93">'Hjälptabell'!D9</f>
        <v/>
      </c>
      <c r="J93" s="112">
        <f t="array" ref="J93">SUM(B93:I93)</f>
        <v/>
      </c>
      <c r="K93" s="113" t="inlineStr">
        <is>
          <t>Resultat före skatt justerat för avskrivning och engångsinvestering</t>
        </is>
      </c>
      <c r="L93" s="142" t="n"/>
      <c r="M93" s="142" t="n"/>
      <c r="N93" s="142" t="n"/>
      <c r="O93" s="142" t="n"/>
      <c r="P93" s="142" t="n"/>
    </row>
    <row r="94" ht="20" customHeight="1" s="155">
      <c r="A94" s="114" t="inlineStr">
        <is>
          <t>Rörelsemarginal (P&amp;L)</t>
        </is>
      </c>
      <c r="B94" s="115">
        <f t="array" ref="B94">IF(B17=0,0,'Hjälptabell'!B2/B17)</f>
        <v/>
      </c>
      <c r="C94" s="115">
        <f t="array" ref="C94">IF(C17=0,0,'Hjälptabell'!B3/C17)</f>
        <v/>
      </c>
      <c r="D94" s="115">
        <f t="array" ref="D94">IF(D17=0,0,'Hjälptabell'!B4/D17)</f>
        <v/>
      </c>
      <c r="E94" s="115">
        <f t="array" ref="E94">IF(E17=0,0,'Hjälptabell'!B5/E17)</f>
        <v/>
      </c>
      <c r="F94" s="115">
        <f t="array" ref="F94">IF(F17=0,0,'Hjälptabell'!B6/F17)</f>
        <v/>
      </c>
      <c r="G94" s="115">
        <f t="array" ref="G94">IF(G17=0,0,'Hjälptabell'!B7/G17)</f>
        <v/>
      </c>
      <c r="H94" s="115">
        <f t="array" ref="H94">IF(H17=0,0,'Hjälptabell'!B8/H17)</f>
        <v/>
      </c>
      <c r="I94" s="115">
        <f t="array" ref="I94">IF(I17=0,0,'Hjälptabell'!B9/I17)</f>
        <v/>
      </c>
      <c r="J94" s="116">
        <f t="array" ref="J94">IF(J17=0,0,J92/J17)</f>
        <v/>
      </c>
      <c r="K94" s="117" t="inlineStr">
        <is>
          <t>Resultat före skatt / summa intäkter</t>
        </is>
      </c>
      <c r="L94" s="142" t="n"/>
      <c r="M94" s="142" t="n"/>
      <c r="N94" s="142" t="n"/>
      <c r="O94" s="142" t="n"/>
      <c r="P94" s="142" t="n"/>
    </row>
    <row r="95" ht="20" customHeight="1" s="155">
      <c r="A95" s="118" t="n"/>
      <c r="B95" s="119" t="n"/>
      <c r="C95" s="119" t="n"/>
      <c r="D95" s="119" t="n"/>
      <c r="E95" s="119" t="n"/>
      <c r="F95" s="119" t="n"/>
      <c r="G95" s="119" t="n"/>
      <c r="H95" s="119" t="n"/>
      <c r="I95" s="120" t="n"/>
      <c r="J95" s="121" t="n"/>
      <c r="K95" s="122" t="n"/>
      <c r="L95" s="142" t="n"/>
      <c r="M95" s="142" t="n"/>
      <c r="N95" s="142" t="n"/>
      <c r="O95" s="142" t="n"/>
      <c r="P95" s="142" t="n"/>
    </row>
    <row r="96" ht="20" customHeight="1" s="155">
      <c r="A96" s="123" t="inlineStr">
        <is>
          <t>RESULTATÖVERSIKT</t>
        </is>
      </c>
      <c r="B96" s="124" t="n"/>
      <c r="C96" s="124" t="n"/>
      <c r="D96" s="124" t="n"/>
      <c r="E96" s="124" t="n"/>
      <c r="F96" s="124" t="n"/>
      <c r="G96" s="124" t="n"/>
      <c r="H96" s="124" t="n"/>
      <c r="I96" s="125" t="n"/>
      <c r="J96" s="121" t="n"/>
      <c r="K96" s="122" t="n"/>
      <c r="L96" s="142" t="n"/>
      <c r="M96" s="142" t="n"/>
      <c r="N96" s="142" t="n"/>
      <c r="O96" s="142" t="n"/>
      <c r="P96" s="142" t="n"/>
    </row>
    <row r="97" ht="16" customHeight="1" s="155">
      <c r="A97" s="126" t="n"/>
      <c r="B97" s="127" t="inlineStr">
        <is>
          <t>Maj</t>
        </is>
      </c>
      <c r="C97" s="127" t="inlineStr">
        <is>
          <t>Juni</t>
        </is>
      </c>
      <c r="D97" s="127" t="inlineStr">
        <is>
          <t>Juli</t>
        </is>
      </c>
      <c r="E97" s="127" t="inlineStr">
        <is>
          <t>Augusti</t>
        </is>
      </c>
      <c r="F97" s="127" t="inlineStr">
        <is>
          <t>September</t>
        </is>
      </c>
      <c r="G97" s="127" t="inlineStr">
        <is>
          <t>Oktober</t>
        </is>
      </c>
      <c r="H97" s="127" t="inlineStr">
        <is>
          <t>November</t>
        </is>
      </c>
      <c r="I97" s="128" t="inlineStr">
        <is>
          <t>December</t>
        </is>
      </c>
      <c r="J97" s="129" t="inlineStr">
        <is>
          <t>Period</t>
        </is>
      </c>
      <c r="K97" s="130" t="inlineStr">
        <is>
          <t>Kommentar</t>
        </is>
      </c>
      <c r="L97" s="14" t="n"/>
      <c r="M97" s="142" t="n"/>
      <c r="N97" s="142" t="n"/>
      <c r="O97" s="142" t="n"/>
      <c r="P97" s="142" t="n"/>
    </row>
    <row r="98" ht="16" customHeight="1" s="155">
      <c r="A98" s="131" t="inlineStr">
        <is>
          <t>Intäkter</t>
        </is>
      </c>
      <c r="B98" s="132">
        <f t="array" ref="B98">B17</f>
        <v/>
      </c>
      <c r="C98" s="132">
        <f t="array" ref="C98">C17</f>
        <v/>
      </c>
      <c r="D98" s="132">
        <f t="array" ref="D98">D17</f>
        <v/>
      </c>
      <c r="E98" s="132">
        <f t="array" ref="E98">E17</f>
        <v/>
      </c>
      <c r="F98" s="132">
        <f t="array" ref="F98">F17</f>
        <v/>
      </c>
      <c r="G98" s="132">
        <f t="array" ref="G98">G17</f>
        <v/>
      </c>
      <c r="H98" s="132">
        <f t="array" ref="H98">H17</f>
        <v/>
      </c>
      <c r="I98" s="133">
        <f t="array" ref="I98">I17</f>
        <v/>
      </c>
      <c r="J98" s="171">
        <f t="array" ref="J98">J17</f>
        <v/>
      </c>
      <c r="K98" s="135" t="inlineStr">
        <is>
          <t>Summa intäkter per månad</t>
        </is>
      </c>
      <c r="L98" s="16" t="n"/>
      <c r="M98" s="8" t="n"/>
      <c r="N98" s="142" t="n"/>
      <c r="O98" s="142" t="n"/>
      <c r="P98" s="142" t="n"/>
    </row>
    <row r="99" ht="16" customHeight="1" s="155">
      <c r="A99" s="136" t="inlineStr">
        <is>
          <t>Kostnader P&amp;L</t>
        </is>
      </c>
      <c r="B99" s="137">
        <f t="array" ref="B99">B91</f>
        <v/>
      </c>
      <c r="C99" s="137">
        <f t="array" ref="C99">C91</f>
        <v/>
      </c>
      <c r="D99" s="137">
        <f t="array" ref="D99">D91</f>
        <v/>
      </c>
      <c r="E99" s="137">
        <f t="array" ref="E99">E91</f>
        <v/>
      </c>
      <c r="F99" s="137">
        <f t="array" ref="F99">F91</f>
        <v/>
      </c>
      <c r="G99" s="137">
        <f t="array" ref="G99">G91</f>
        <v/>
      </c>
      <c r="H99" s="137">
        <f t="array" ref="H99">H91</f>
        <v/>
      </c>
      <c r="I99" s="138">
        <f t="array" ref="I99">I91</f>
        <v/>
      </c>
      <c r="J99" s="139">
        <f t="array" ref="J99">J91</f>
        <v/>
      </c>
      <c r="K99" s="135" t="inlineStr">
        <is>
          <t>Summa kostnader per månad</t>
        </is>
      </c>
      <c r="L99" s="16" t="n"/>
      <c r="M99" s="8" t="n"/>
      <c r="N99" s="142" t="n"/>
      <c r="O99" s="142" t="n"/>
      <c r="P99" s="142" t="n"/>
    </row>
    <row r="100" ht="16" customHeight="1" s="155">
      <c r="A100" s="140" t="inlineStr">
        <is>
          <t>Resultat P&amp;L</t>
        </is>
      </c>
      <c r="B100" s="141">
        <f t="array" ref="B100">'Hjälptabell'!B2</f>
        <v/>
      </c>
      <c r="C100" s="141">
        <f t="array" ref="C100">'Hjälptabell'!B3</f>
        <v/>
      </c>
      <c r="D100" s="141">
        <f t="array" ref="D100">'Hjälptabell'!B4</f>
        <v/>
      </c>
      <c r="E100" s="141">
        <f t="array" ref="E100">'Hjälptabell'!B5</f>
        <v/>
      </c>
      <c r="F100" s="141">
        <f t="array" ref="F100">'Hjälptabell'!B6</f>
        <v/>
      </c>
      <c r="G100" s="141">
        <f t="array" ref="G100">'Hjälptabell'!B7</f>
        <v/>
      </c>
      <c r="H100" s="141">
        <f t="array" ref="H100">'Hjälptabell'!B8</f>
        <v/>
      </c>
      <c r="I100" s="141">
        <f t="array" ref="I100">'Hjälptabell'!B9</f>
        <v/>
      </c>
      <c r="J100" s="142">
        <f t="array" ref="J100">SUM(B100:I100)</f>
        <v/>
      </c>
      <c r="K100" s="135" t="inlineStr">
        <is>
          <t>Plus eller minus per månad</t>
        </is>
      </c>
      <c r="L100" s="16" t="n"/>
      <c r="M100" s="8" t="n"/>
      <c r="N100" s="142" t="n"/>
      <c r="O100" s="142" t="n"/>
      <c r="P100" s="142" t="n"/>
    </row>
    <row r="101" ht="16" customHeight="1" s="155">
      <c r="A101" s="130" t="inlineStr">
        <is>
          <t>Ack. resultat P&amp;L</t>
        </is>
      </c>
      <c r="B101" s="142">
        <f t="array" ref="B101">'Hjälptabell'!C2</f>
        <v/>
      </c>
      <c r="C101" s="142">
        <f t="array" ref="C101">'Hjälptabell'!C3</f>
        <v/>
      </c>
      <c r="D101" s="142">
        <f t="array" ref="D101">'Hjälptabell'!C4</f>
        <v/>
      </c>
      <c r="E101" s="142">
        <f t="array" ref="E101">'Hjälptabell'!C5</f>
        <v/>
      </c>
      <c r="F101" s="142">
        <f t="array" ref="F101">'Hjälptabell'!C6</f>
        <v/>
      </c>
      <c r="G101" s="142">
        <f t="array" ref="G101">'Hjälptabell'!C7</f>
        <v/>
      </c>
      <c r="H101" s="142">
        <f t="array" ref="H101">'Hjälptabell'!C8</f>
        <v/>
      </c>
      <c r="I101" s="142">
        <f t="array" ref="I101">'Hjälptabell'!C9</f>
        <v/>
      </c>
      <c r="J101" s="142">
        <f t="array" ref="J101">'Hjälptabell'!C9</f>
        <v/>
      </c>
      <c r="K101" s="135" t="inlineStr">
        <is>
          <t>Ackumulerat resultat över perioden</t>
        </is>
      </c>
      <c r="L101" s="16" t="n"/>
      <c r="M101" s="8" t="n"/>
      <c r="N101" s="142" t="n"/>
      <c r="O101" s="142" t="n"/>
      <c r="P101" s="142" t="n"/>
    </row>
    <row r="102" ht="16" customHeight="1" s="155">
      <c r="A102" s="130" t="inlineStr">
        <is>
          <t>Kassaflöde</t>
        </is>
      </c>
      <c r="B102" s="142">
        <f t="array" ref="B102">'Hjälptabell'!D2</f>
        <v/>
      </c>
      <c r="C102" s="142">
        <f t="array" ref="C102">'Hjälptabell'!D3</f>
        <v/>
      </c>
      <c r="D102" s="142">
        <f t="array" ref="D102">'Hjälptabell'!D4</f>
        <v/>
      </c>
      <c r="E102" s="142">
        <f t="array" ref="E102">'Hjälptabell'!D5</f>
        <v/>
      </c>
      <c r="F102" s="142">
        <f t="array" ref="F102">'Hjälptabell'!D6</f>
        <v/>
      </c>
      <c r="G102" s="142">
        <f t="array" ref="G102">'Hjälptabell'!D7</f>
        <v/>
      </c>
      <c r="H102" s="142">
        <f t="array" ref="H102">'Hjälptabell'!D8</f>
        <v/>
      </c>
      <c r="I102" s="142">
        <f t="array" ref="I102">'Hjälptabell'!D9</f>
        <v/>
      </c>
      <c r="J102" s="142">
        <f t="array" ref="J102">SUM(B102:I102)</f>
        <v/>
      </c>
      <c r="K102" s="135" t="inlineStr">
        <is>
          <t>Kassaflöde per månad</t>
        </is>
      </c>
      <c r="L102" s="16" t="n"/>
      <c r="M102" s="8" t="n"/>
      <c r="N102" s="142" t="n"/>
      <c r="O102" s="142" t="n"/>
      <c r="P102" s="142" t="n"/>
    </row>
    <row r="103" ht="16" customHeight="1" s="155">
      <c r="A103" s="130" t="inlineStr">
        <is>
          <t>Ack. kassaflöde</t>
        </is>
      </c>
      <c r="B103" s="142">
        <f t="array" ref="B103">'Hjälptabell'!E2</f>
        <v/>
      </c>
      <c r="C103" s="142">
        <f t="array" ref="C103">'Hjälptabell'!E3</f>
        <v/>
      </c>
      <c r="D103" s="142">
        <f t="array" ref="D103">'Hjälptabell'!E4</f>
        <v/>
      </c>
      <c r="E103" s="142">
        <f t="array" ref="E103">'Hjälptabell'!E5</f>
        <v/>
      </c>
      <c r="F103" s="142">
        <f t="array" ref="F103">'Hjälptabell'!E6</f>
        <v/>
      </c>
      <c r="G103" s="142">
        <f t="array" ref="G103">'Hjälptabell'!E7</f>
        <v/>
      </c>
      <c r="H103" s="142">
        <f t="array" ref="H103">'Hjälptabell'!E8</f>
        <v/>
      </c>
      <c r="I103" s="142">
        <f t="array" ref="I103">'Hjälptabell'!E9</f>
        <v/>
      </c>
      <c r="J103" s="142">
        <f t="array" ref="J103">'Hjälptabell'!E9</f>
        <v/>
      </c>
      <c r="K103" s="135" t="inlineStr">
        <is>
          <t>Ackumulerat kassaflöde över perioden</t>
        </is>
      </c>
      <c r="L103" s="16" t="n"/>
      <c r="M103" s="8" t="n"/>
      <c r="N103" s="142" t="n"/>
      <c r="O103" s="142" t="n"/>
      <c r="P103" s="142" t="n"/>
    </row>
    <row r="104" ht="16" customHeight="1" s="155">
      <c r="A104" s="142" t="n"/>
      <c r="B104" s="142" t="n"/>
      <c r="C104" s="142" t="n"/>
      <c r="D104" s="142" t="n"/>
      <c r="E104" s="142" t="n"/>
      <c r="F104" s="142" t="n"/>
      <c r="G104" s="142" t="n"/>
      <c r="H104" s="142" t="n"/>
      <c r="I104" s="142" t="n"/>
      <c r="J104" s="142" t="n"/>
      <c r="K104" s="10" t="n"/>
      <c r="L104" s="16" t="n"/>
      <c r="M104" s="8" t="n"/>
      <c r="N104" s="142" t="n"/>
      <c r="O104" s="142" t="n"/>
      <c r="P104" s="142" t="n"/>
    </row>
    <row r="105" ht="16" customHeight="1" s="155">
      <c r="A105" s="142" t="n"/>
      <c r="B105" s="142" t="n"/>
      <c r="C105" s="142" t="n"/>
      <c r="D105" s="142" t="n"/>
      <c r="E105" s="142" t="n"/>
      <c r="F105" s="142" t="n"/>
      <c r="G105" s="142" t="n"/>
      <c r="H105" s="142" t="n"/>
      <c r="I105" s="142" t="n"/>
      <c r="J105" s="142" t="n"/>
      <c r="K105" s="10" t="n"/>
      <c r="L105" s="16" t="n"/>
      <c r="M105" s="8" t="n"/>
      <c r="N105" s="142" t="n"/>
      <c r="O105" s="142" t="n"/>
      <c r="P105" s="142" t="n"/>
    </row>
    <row r="106" ht="16" customHeight="1" s="155">
      <c r="A106" s="142" t="n"/>
      <c r="B106" s="142" t="n"/>
      <c r="C106" s="142" t="n"/>
      <c r="D106" s="142" t="n"/>
      <c r="E106" s="142" t="n"/>
      <c r="F106" s="142" t="n"/>
      <c r="G106" s="142" t="n"/>
      <c r="H106" s="142" t="n"/>
      <c r="I106" s="142" t="n"/>
      <c r="J106" s="142" t="n"/>
      <c r="K106" s="10" t="n"/>
      <c r="L106" s="16" t="n"/>
      <c r="M106" s="8" t="n"/>
      <c r="N106" s="142" t="n"/>
      <c r="O106" s="142" t="n"/>
      <c r="P106" s="142" t="n"/>
    </row>
    <row r="107" ht="16" customHeight="1" s="155">
      <c r="A107" s="142" t="n"/>
      <c r="B107" s="142" t="n"/>
      <c r="C107" s="142" t="n"/>
      <c r="D107" s="142" t="n"/>
      <c r="E107" s="142" t="n"/>
      <c r="F107" s="142" t="n"/>
      <c r="G107" s="142" t="n"/>
      <c r="H107" s="142" t="n"/>
      <c r="I107" s="142" t="n"/>
      <c r="J107" s="142" t="n"/>
      <c r="K107" s="10" t="n"/>
      <c r="L107" s="16" t="n"/>
      <c r="M107" s="8" t="n"/>
      <c r="N107" s="142" t="n"/>
      <c r="O107" s="142" t="n"/>
      <c r="P107" s="142" t="n"/>
    </row>
    <row r="108" ht="16" customHeight="1" s="155">
      <c r="A108" s="142" t="n"/>
      <c r="B108" s="142" t="n"/>
      <c r="C108" s="142" t="n"/>
      <c r="D108" s="142" t="n"/>
      <c r="E108" s="142" t="n"/>
      <c r="F108" s="142" t="n"/>
      <c r="G108" s="142" t="n"/>
      <c r="H108" s="142" t="n"/>
      <c r="I108" s="142" t="n"/>
      <c r="J108" s="142" t="n"/>
      <c r="K108" s="10" t="n"/>
      <c r="L108" s="16" t="n"/>
      <c r="M108" s="8" t="n"/>
      <c r="N108" s="142" t="n"/>
      <c r="O108" s="142" t="n"/>
      <c r="P108" s="142" t="n"/>
    </row>
    <row r="109" ht="16" customHeight="1" s="155">
      <c r="A109" s="142" t="n"/>
      <c r="B109" s="142" t="n"/>
      <c r="C109" s="142" t="n"/>
      <c r="D109" s="142" t="n"/>
      <c r="E109" s="142" t="n"/>
      <c r="F109" s="142" t="n"/>
      <c r="G109" s="142" t="n"/>
      <c r="H109" s="142" t="n"/>
      <c r="I109" s="142" t="n"/>
      <c r="J109" s="142" t="n"/>
      <c r="K109" s="10" t="n"/>
      <c r="L109" s="16" t="n"/>
      <c r="M109" s="8" t="n"/>
      <c r="N109" s="142" t="n"/>
      <c r="O109" s="142" t="n"/>
      <c r="P109" s="142" t="n"/>
    </row>
    <row r="110" ht="16" customHeight="1" s="155">
      <c r="A110" s="142" t="n"/>
      <c r="B110" s="142" t="n"/>
      <c r="C110" s="142" t="n"/>
      <c r="D110" s="142" t="n"/>
      <c r="E110" s="142" t="n"/>
      <c r="F110" s="142" t="n"/>
      <c r="G110" s="142" t="n"/>
      <c r="H110" s="142" t="n"/>
      <c r="I110" s="142" t="n"/>
      <c r="J110" s="142" t="n"/>
      <c r="K110" s="10" t="n"/>
      <c r="L110" s="16" t="n"/>
      <c r="M110" s="8" t="n"/>
      <c r="N110" s="142" t="n"/>
      <c r="O110" s="142" t="n"/>
      <c r="P110" s="142" t="n"/>
    </row>
    <row r="111" ht="16" customHeight="1" s="155">
      <c r="A111" s="142" t="n"/>
      <c r="B111" s="142" t="n"/>
      <c r="C111" s="142" t="n"/>
      <c r="D111" s="142" t="n"/>
      <c r="E111" s="142" t="n"/>
      <c r="F111" s="142" t="n"/>
      <c r="G111" s="142" t="n"/>
      <c r="H111" s="142" t="n"/>
      <c r="I111" s="142" t="n"/>
      <c r="J111" s="142" t="n"/>
      <c r="K111" s="10" t="n"/>
      <c r="L111" s="16" t="n"/>
      <c r="M111" s="8" t="n"/>
      <c r="N111" s="142" t="n"/>
      <c r="O111" s="142" t="n"/>
      <c r="P111" s="142" t="n"/>
    </row>
    <row r="112" ht="16" customHeight="1" s="155">
      <c r="A112" s="142" t="n"/>
      <c r="B112" s="142" t="n"/>
      <c r="C112" s="142" t="n"/>
      <c r="D112" s="142" t="n"/>
      <c r="E112" s="142" t="n"/>
      <c r="F112" s="142" t="n"/>
      <c r="G112" s="142" t="n"/>
      <c r="H112" s="142" t="n"/>
      <c r="I112" s="142" t="n"/>
      <c r="J112" s="142" t="n"/>
      <c r="K112" s="10" t="n"/>
      <c r="L112" s="16" t="n"/>
      <c r="M112" s="8" t="n"/>
      <c r="N112" s="142" t="n"/>
      <c r="O112" s="142" t="n"/>
      <c r="P112" s="142" t="n"/>
    </row>
    <row r="113" ht="16" customHeight="1" s="155">
      <c r="A113" s="142" t="n"/>
      <c r="B113" s="142" t="n"/>
      <c r="C113" s="142" t="n"/>
      <c r="D113" s="142" t="n"/>
      <c r="E113" s="142" t="n"/>
      <c r="F113" s="142" t="n"/>
      <c r="G113" s="142" t="n"/>
      <c r="H113" s="142" t="n"/>
      <c r="I113" s="142" t="n"/>
      <c r="J113" s="142" t="n"/>
      <c r="K113" s="10" t="n"/>
      <c r="L113" s="16" t="n"/>
      <c r="M113" s="8" t="n"/>
      <c r="N113" s="142" t="n"/>
      <c r="O113" s="142" t="n"/>
      <c r="P113" s="142" t="n"/>
    </row>
    <row r="114" ht="16" customHeight="1" s="155">
      <c r="A114" s="142" t="n"/>
      <c r="B114" s="142" t="n"/>
      <c r="C114" s="142" t="n"/>
      <c r="D114" s="142" t="n"/>
      <c r="E114" s="142" t="n"/>
      <c r="F114" s="142" t="n"/>
      <c r="G114" s="142" t="n"/>
      <c r="H114" s="142" t="n"/>
      <c r="I114" s="142" t="n"/>
      <c r="J114" s="142" t="n"/>
      <c r="K114" s="10" t="n"/>
      <c r="L114" s="16" t="n"/>
      <c r="M114" s="8" t="n"/>
      <c r="N114" s="142" t="n"/>
      <c r="O114" s="142" t="n"/>
      <c r="P114" s="142" t="n"/>
    </row>
    <row r="115" ht="16" customHeight="1" s="155">
      <c r="A115" s="142" t="n"/>
      <c r="B115" s="142" t="n"/>
      <c r="C115" s="142" t="n"/>
      <c r="D115" s="142" t="n"/>
      <c r="E115" s="142" t="n"/>
      <c r="F115" s="142" t="n"/>
      <c r="G115" s="142" t="n"/>
      <c r="H115" s="142" t="n"/>
      <c r="I115" s="142" t="n"/>
      <c r="J115" s="142" t="n"/>
      <c r="K115" s="10" t="n"/>
      <c r="L115" s="16" t="n"/>
      <c r="M115" s="8" t="n"/>
      <c r="N115" s="142" t="n"/>
      <c r="O115" s="142" t="n"/>
      <c r="P115" s="142" t="n"/>
    </row>
    <row r="116" ht="16" customHeight="1" s="155">
      <c r="A116" s="142" t="n"/>
      <c r="B116" s="142" t="n"/>
      <c r="C116" s="142" t="n"/>
      <c r="D116" s="142" t="n"/>
      <c r="E116" s="142" t="n"/>
      <c r="F116" s="142" t="n"/>
      <c r="G116" s="142" t="n"/>
      <c r="H116" s="142" t="n"/>
      <c r="I116" s="142" t="n"/>
      <c r="J116" s="142" t="n"/>
      <c r="K116" s="10" t="n"/>
      <c r="L116" s="16" t="n"/>
      <c r="M116" s="8" t="n"/>
      <c r="N116" s="142" t="n"/>
      <c r="O116" s="142" t="n"/>
      <c r="P116" s="142" t="n"/>
    </row>
    <row r="117" ht="16" customHeight="1" s="155">
      <c r="A117" s="142" t="n"/>
      <c r="B117" s="142" t="n"/>
      <c r="C117" s="142" t="n"/>
      <c r="D117" s="142" t="n"/>
      <c r="E117" s="142" t="n"/>
      <c r="F117" s="142" t="n"/>
      <c r="G117" s="142" t="n"/>
      <c r="H117" s="142" t="n"/>
      <c r="I117" s="142" t="n"/>
      <c r="J117" s="142" t="n"/>
      <c r="K117" s="10" t="n"/>
      <c r="L117" s="16" t="n"/>
      <c r="M117" s="8" t="n"/>
      <c r="N117" s="142" t="n"/>
      <c r="O117" s="142" t="n"/>
      <c r="P117" s="142" t="n"/>
    </row>
    <row r="118" ht="16" customHeight="1" s="155">
      <c r="A118" s="142" t="n"/>
      <c r="B118" s="142" t="n"/>
      <c r="C118" s="142" t="n"/>
      <c r="D118" s="142" t="n"/>
      <c r="E118" s="142" t="n"/>
      <c r="F118" s="142" t="n"/>
      <c r="G118" s="142" t="n"/>
      <c r="H118" s="142" t="n"/>
      <c r="I118" s="142" t="n"/>
      <c r="J118" s="142" t="n"/>
      <c r="K118" s="10" t="n"/>
      <c r="L118" s="16" t="n"/>
      <c r="M118" s="8" t="n"/>
      <c r="N118" s="142" t="n"/>
      <c r="O118" s="142" t="n"/>
      <c r="P118" s="142" t="n"/>
    </row>
    <row r="119" ht="16" customHeight="1" s="155">
      <c r="A119" s="142" t="n"/>
      <c r="B119" s="142" t="n"/>
      <c r="C119" s="142" t="n"/>
      <c r="D119" s="142" t="n"/>
      <c r="E119" s="142" t="n"/>
      <c r="F119" s="142" t="n"/>
      <c r="G119" s="142" t="n"/>
      <c r="H119" s="142" t="n"/>
      <c r="I119" s="142" t="n"/>
      <c r="J119" s="142" t="n"/>
      <c r="K119" s="10" t="n"/>
      <c r="L119" s="16" t="n"/>
      <c r="M119" s="8" t="n"/>
      <c r="N119" s="142" t="n"/>
      <c r="O119" s="142" t="n"/>
      <c r="P119" s="142" t="n"/>
    </row>
    <row r="120" ht="16" customHeight="1" s="155">
      <c r="A120" s="142" t="n"/>
      <c r="B120" s="142" t="n"/>
      <c r="C120" s="142" t="n"/>
      <c r="D120" s="142" t="n"/>
      <c r="E120" s="142" t="n"/>
      <c r="F120" s="142" t="n"/>
      <c r="G120" s="142" t="n"/>
      <c r="H120" s="142" t="n"/>
      <c r="I120" s="142" t="n"/>
      <c r="J120" s="142" t="n"/>
      <c r="K120" s="10" t="n"/>
      <c r="L120" s="16" t="n"/>
      <c r="M120" s="8" t="n"/>
      <c r="N120" s="142" t="n"/>
      <c r="O120" s="142" t="n"/>
      <c r="P120" s="142" t="n"/>
    </row>
    <row r="121" ht="16" customHeight="1" s="155">
      <c r="A121" s="142" t="n"/>
      <c r="B121" s="142" t="n"/>
      <c r="C121" s="142" t="n"/>
      <c r="D121" s="142" t="n"/>
      <c r="E121" s="142" t="n"/>
      <c r="F121" s="142" t="n"/>
      <c r="G121" s="142" t="n"/>
      <c r="H121" s="142" t="n"/>
      <c r="I121" s="142" t="n"/>
      <c r="J121" s="142" t="n"/>
      <c r="K121" s="10" t="n"/>
      <c r="L121" s="16" t="n"/>
      <c r="M121" s="8" t="n"/>
      <c r="N121" s="142" t="n"/>
      <c r="O121" s="142" t="n"/>
      <c r="P121" s="142" t="n"/>
    </row>
    <row r="122" ht="16" customHeight="1" s="155">
      <c r="A122" s="142" t="n"/>
      <c r="B122" s="142" t="n"/>
      <c r="C122" s="142" t="n"/>
      <c r="D122" s="142" t="n"/>
      <c r="E122" s="142" t="n"/>
      <c r="F122" s="142" t="n"/>
      <c r="G122" s="142" t="n"/>
      <c r="H122" s="142" t="n"/>
      <c r="I122" s="142" t="n"/>
      <c r="J122" s="142" t="n"/>
      <c r="K122" s="10" t="n"/>
      <c r="L122" s="16" t="n"/>
      <c r="M122" s="8" t="n"/>
      <c r="N122" s="142" t="n"/>
      <c r="O122" s="142" t="n"/>
      <c r="P122" s="142" t="n"/>
    </row>
    <row r="123" ht="16" customHeight="1" s="155">
      <c r="A123" s="142" t="n"/>
      <c r="B123" s="142" t="n"/>
      <c r="C123" s="142" t="n"/>
      <c r="D123" s="142" t="n"/>
      <c r="E123" s="142" t="n"/>
      <c r="F123" s="142" t="n"/>
      <c r="G123" s="142" t="n"/>
      <c r="H123" s="142" t="n"/>
      <c r="I123" s="142" t="n"/>
      <c r="J123" s="142" t="n"/>
      <c r="K123" s="10" t="n"/>
      <c r="L123" s="16" t="n"/>
      <c r="M123" s="8" t="n"/>
      <c r="N123" s="142" t="n"/>
      <c r="O123" s="142" t="n"/>
      <c r="P123" s="142" t="n"/>
    </row>
    <row r="124" ht="16" customHeight="1" s="155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5" t="n"/>
      <c r="L124" s="16" t="n"/>
      <c r="M124" s="8" t="n"/>
      <c r="N124" s="142" t="n"/>
      <c r="O124" s="142" t="n"/>
      <c r="P124" s="142" t="n"/>
    </row>
    <row r="125" ht="16" customHeight="1" s="155">
      <c r="A125" s="143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8" t="n"/>
      <c r="N125" s="142" t="n"/>
      <c r="O125" s="142" t="n"/>
      <c r="P125" s="142" t="n"/>
    </row>
    <row r="126" ht="16" customHeight="1" s="155">
      <c r="A126" s="143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8" t="n"/>
      <c r="N126" s="142" t="n"/>
      <c r="O126" s="142" t="n"/>
      <c r="P126" s="142" t="n"/>
    </row>
    <row r="127" ht="16" customHeight="1" s="155">
      <c r="A127" s="143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8" t="n"/>
      <c r="N127" s="142" t="n"/>
      <c r="O127" s="142" t="n"/>
      <c r="P127" s="142" t="n"/>
    </row>
    <row r="128" ht="16" customHeight="1" s="155">
      <c r="A128" s="143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8" t="n"/>
      <c r="N128" s="142" t="n"/>
      <c r="O128" s="142" t="n"/>
      <c r="P128" s="142" t="n"/>
    </row>
    <row r="129" ht="16" customHeight="1" s="155">
      <c r="A129" s="144" t="n"/>
      <c r="B129" s="145" t="n"/>
      <c r="C129" s="145" t="n"/>
      <c r="D129" s="145" t="n"/>
      <c r="E129" s="145" t="n"/>
      <c r="F129" s="145" t="n"/>
      <c r="G129" s="145" t="n"/>
      <c r="H129" s="145" t="n"/>
      <c r="I129" s="145" t="n"/>
      <c r="J129" s="145" t="n"/>
      <c r="K129" s="145" t="n"/>
      <c r="L129" s="145" t="n"/>
      <c r="M129" s="8" t="n"/>
      <c r="N129" s="142" t="n"/>
      <c r="O129" s="142" t="n"/>
      <c r="P129" s="142" t="n"/>
    </row>
  </sheetData>
  <mergeCells count="2">
    <mergeCell ref="A2:K2"/>
    <mergeCell ref="A1:K1"/>
  </mergeCells>
  <conditionalFormatting sqref="B56:J57 B84:J87 B92:I93 B98:I99">
    <cfRule type="cellIs" priority="1" operator="lessThan" dxfId="0" stopIfTrue="1">
      <formula>0</formula>
    </cfRule>
  </conditionalFormatting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defaultGridColor="1" workbookViewId="0">
      <selection activeCell="A1" sqref="A1"/>
    </sheetView>
  </sheetViews>
  <sheetFormatPr baseColWidth="8" defaultColWidth="14.5" defaultRowHeight="15" customHeight="1" outlineLevelRow="0"/>
  <cols>
    <col width="34" customWidth="1" style="153" min="1" max="1"/>
    <col width="20" customWidth="1" style="153" min="2" max="2"/>
    <col width="18" customWidth="1" style="153" min="3" max="3"/>
    <col width="42" customWidth="1" style="153" min="4" max="5"/>
    <col width="14.5" customWidth="1" style="153" min="6" max="16384"/>
  </cols>
  <sheetData>
    <row r="1" ht="16" customHeight="1" s="155">
      <c r="A1" s="147" t="inlineStr">
        <is>
          <t>Parameter</t>
        </is>
      </c>
      <c r="B1" s="147" t="inlineStr">
        <is>
          <t>Värde</t>
        </is>
      </c>
      <c r="C1" s="147" t="inlineStr">
        <is>
          <t>Kommentar</t>
        </is>
      </c>
      <c r="D1" s="142" t="n"/>
      <c r="E1" s="142" t="n"/>
    </row>
    <row r="2" ht="16" customHeight="1" s="155">
      <c r="A2" s="130" t="inlineStr">
        <is>
          <t>Teamstorlek</t>
        </is>
      </c>
      <c r="B2" s="142" t="n">
        <v>6</v>
      </c>
      <c r="C2" s="130" t="inlineStr">
        <is>
          <t>Antal heltider</t>
        </is>
      </c>
      <c r="D2" s="142" t="n"/>
      <c r="E2" s="142" t="n"/>
    </row>
    <row r="3" ht="16" customHeight="1" s="155">
      <c r="A3" s="130" t="inlineStr">
        <is>
          <t>Bruttolön_per_månad</t>
        </is>
      </c>
      <c r="B3" s="142" t="n">
        <v>60000</v>
      </c>
      <c r="C3" s="130" t="inlineStr">
        <is>
          <t>kr/mån per person</t>
        </is>
      </c>
      <c r="D3" s="142" t="n"/>
      <c r="E3" s="142" t="n"/>
    </row>
    <row r="4" ht="16" customHeight="1" s="155">
      <c r="A4" s="130" t="inlineStr">
        <is>
          <t>Arbetsgivaravgifts_sats</t>
        </is>
      </c>
      <c r="B4" s="142" t="n">
        <v>0.3142</v>
      </c>
      <c r="C4" s="130" t="inlineStr">
        <is>
          <t>31,42 %</t>
        </is>
      </c>
      <c r="D4" s="142" t="n"/>
      <c r="E4" s="142" t="n"/>
    </row>
    <row r="5" ht="16" customHeight="1" s="155">
      <c r="A5" s="130" t="inlineStr">
        <is>
          <t>Standard_tjänstepensions_sats</t>
        </is>
      </c>
      <c r="B5" s="142" t="n">
        <v>0.06</v>
      </c>
      <c r="C5" s="148" t="inlineStr">
        <is>
          <t>Standard om ingen individuell pensionssats anges</t>
        </is>
      </c>
      <c r="D5" s="142" t="n"/>
      <c r="E5" s="142" t="n"/>
    </row>
    <row r="6" ht="16" customHeight="1" s="155">
      <c r="A6" s="130" t="inlineStr">
        <is>
          <t>Personalförsäkrings_sats</t>
        </is>
      </c>
      <c r="B6" s="142" t="n">
        <v>0.005</v>
      </c>
      <c r="C6" s="130" t="inlineStr">
        <is>
          <t>0,5 % av bruttolön</t>
        </is>
      </c>
      <c r="D6" s="142" t="n"/>
      <c r="E6" s="142" t="n"/>
    </row>
    <row r="7" ht="16" customHeight="1" s="155">
      <c r="A7" s="130" t="inlineStr">
        <is>
          <t>Företagsförsäkring_per_månad</t>
        </is>
      </c>
      <c r="B7" s="142" t="n">
        <v>2000</v>
      </c>
      <c r="C7" s="130" t="inlineStr">
        <is>
          <t>Företagsförsäkring (bas)</t>
        </is>
      </c>
      <c r="D7" s="142" t="n"/>
      <c r="E7" s="142" t="n"/>
    </row>
    <row r="8" ht="16" customHeight="1" s="155">
      <c r="A8" s="130" t="inlineStr">
        <is>
          <t>Mobilabonnemang_per_lina</t>
        </is>
      </c>
      <c r="B8" s="142" t="n">
        <v>250</v>
      </c>
      <c r="C8" s="130" t="inlineStr">
        <is>
          <t>kr/mån</t>
        </is>
      </c>
      <c r="D8" s="142" t="n"/>
      <c r="E8" s="142" t="n"/>
    </row>
    <row r="9" ht="16" customHeight="1" s="155">
      <c r="A9" s="130" t="inlineStr">
        <is>
          <t>Antal_telefonabonnemang</t>
        </is>
      </c>
      <c r="B9" s="142">
        <f t="array" ref="B9">B2</f>
        <v/>
      </c>
      <c r="C9" s="130" t="inlineStr">
        <is>
          <t>Som standard = Teamstorlek</t>
        </is>
      </c>
      <c r="D9" s="142" t="n"/>
      <c r="E9" s="142" t="n"/>
    </row>
    <row r="10" ht="16" customHeight="1" s="155">
      <c r="A10" s="130" t="inlineStr">
        <is>
          <t>Internetabonnemang_kontor</t>
        </is>
      </c>
      <c r="B10" s="142" t="n">
        <v>0</v>
      </c>
      <c r="C10" s="130" t="inlineStr">
        <is>
          <t>kr/mån kontor ingår på The Yard</t>
        </is>
      </c>
      <c r="D10" s="142" t="n"/>
      <c r="E10" s="142" t="n"/>
    </row>
    <row r="11" ht="16" customHeight="1" s="155">
      <c r="A11" s="130" t="inlineStr">
        <is>
          <t>Microsoft_365_per_licens</t>
        </is>
      </c>
      <c r="B11" s="142" t="n">
        <v>100</v>
      </c>
      <c r="C11" s="130" t="inlineStr">
        <is>
          <t>kr/licens/mån</t>
        </is>
      </c>
      <c r="D11" s="142" t="n"/>
      <c r="E11" s="142" t="n"/>
    </row>
    <row r="12" ht="16" customHeight="1" s="155">
      <c r="A12" s="130" t="inlineStr">
        <is>
          <t>Microsoft_365_antal_licenser</t>
        </is>
      </c>
      <c r="B12" s="142">
        <f t="array" ref="B12">B2</f>
        <v/>
      </c>
      <c r="C12" s="130" t="inlineStr">
        <is>
          <t>Som standard = Teamstorlek</t>
        </is>
      </c>
      <c r="D12" s="142" t="n"/>
      <c r="E12" s="142" t="n"/>
    </row>
    <row r="13" ht="16" customHeight="1" s="155">
      <c r="A13" s="130" t="inlineStr">
        <is>
          <t>Adobe_All_Apps_per_licens</t>
        </is>
      </c>
      <c r="B13" s="142" t="n">
        <v>1000</v>
      </c>
      <c r="C13" s="130" t="inlineStr">
        <is>
          <t>kr/licens/mån</t>
        </is>
      </c>
      <c r="D13" s="142" t="n"/>
      <c r="E13" s="142" t="n"/>
    </row>
    <row r="14" ht="16" customHeight="1" s="155">
      <c r="A14" s="130" t="inlineStr">
        <is>
          <t>Adobe_All_Apps_antal_licenser</t>
        </is>
      </c>
      <c r="B14" s="142" t="n">
        <v>2</v>
      </c>
      <c r="C14" s="130" t="inlineStr">
        <is>
          <t>Antal platser initialt</t>
        </is>
      </c>
      <c r="D14" s="142" t="n"/>
      <c r="E14" s="142" t="n"/>
    </row>
    <row r="15" ht="16" customHeight="1" s="155">
      <c r="A15" s="130" t="inlineStr">
        <is>
          <t>E_signering_per_månad</t>
        </is>
      </c>
      <c r="B15" s="142" t="n">
        <v>0</v>
      </c>
      <c r="C15" s="130" t="inlineStr">
        <is>
          <t>Startnivå</t>
        </is>
      </c>
      <c r="D15" s="142" t="n"/>
      <c r="E15" s="142" t="n"/>
    </row>
    <row r="16" ht="16" customHeight="1" s="155">
      <c r="A16" s="130" t="inlineStr">
        <is>
          <t>Bokföring_fakturering_per_månad</t>
        </is>
      </c>
      <c r="B16" s="142" t="n">
        <v>400</v>
      </c>
      <c r="C16" s="130" t="inlineStr">
        <is>
          <t>Startpaket</t>
        </is>
      </c>
      <c r="D16" s="142" t="n"/>
      <c r="E16" s="142" t="n"/>
    </row>
    <row r="17" ht="16" customHeight="1" s="155">
      <c r="A17" s="130" t="inlineStr">
        <is>
          <t>Projektstyrning_per_månad</t>
        </is>
      </c>
      <c r="B17" s="142" t="n">
        <v>0</v>
      </c>
      <c r="C17" s="130" t="inlineStr">
        <is>
          <t>Trello/Notion gratisnivå = 0</t>
        </is>
      </c>
      <c r="D17" s="142" t="n"/>
      <c r="E17" s="142" t="n"/>
    </row>
    <row r="18" ht="16" customHeight="1" s="155">
      <c r="A18" s="130" t="inlineStr">
        <is>
          <t>Förbrukning_kaffe_print_städ_per_månad</t>
        </is>
      </c>
      <c r="B18" s="142" t="n">
        <v>0</v>
      </c>
      <c r="C18" s="130" t="inlineStr">
        <is>
          <t>Miniminivå ingår i The Yard</t>
        </is>
      </c>
      <c r="D18" s="142" t="n"/>
      <c r="E18" s="142" t="n"/>
    </row>
    <row r="19" ht="16" customHeight="1" s="155">
      <c r="A19" s="130" t="inlineStr">
        <is>
          <t>Kontorshyra_per_månad</t>
        </is>
      </c>
      <c r="B19" s="142" t="n">
        <v>15000</v>
      </c>
      <c r="C19" s="130" t="inlineStr">
        <is>
          <t>Hyra kr/mån (ändra här)</t>
        </is>
      </c>
      <c r="D19" s="142" t="n"/>
      <c r="E19" s="142" t="n"/>
    </row>
    <row r="20" ht="16" customHeight="1" s="155">
      <c r="A20" s="130" t="inlineStr">
        <is>
          <t>Laptop_enhetspris</t>
        </is>
      </c>
      <c r="B20" s="142" t="n">
        <v>0</v>
      </c>
      <c r="C20" s="130" t="inlineStr">
        <is>
          <t>kr/st</t>
        </is>
      </c>
      <c r="D20" s="142" t="n"/>
      <c r="E20" s="142" t="n"/>
    </row>
    <row r="21" ht="15.75" customHeight="1" s="155">
      <c r="A21" s="130" t="inlineStr">
        <is>
          <t>Skärm_enhetspris</t>
        </is>
      </c>
      <c r="B21" s="142" t="n">
        <v>0</v>
      </c>
      <c r="C21" s="130" t="inlineStr">
        <is>
          <t>kr/st 27"</t>
        </is>
      </c>
      <c r="D21" s="142" t="n"/>
      <c r="E21" s="142" t="n"/>
    </row>
    <row r="22" ht="15.75" customHeight="1" s="155">
      <c r="A22" s="130" t="inlineStr">
        <is>
          <t>Docka_enhetspris</t>
        </is>
      </c>
      <c r="B22" s="142" t="n">
        <v>0</v>
      </c>
      <c r="C22" s="130" t="inlineStr">
        <is>
          <t>kr/st</t>
        </is>
      </c>
      <c r="D22" s="142" t="n"/>
      <c r="E22" s="142" t="n"/>
    </row>
    <row r="23" ht="15.75" customHeight="1" s="155">
      <c r="A23" s="130" t="inlineStr">
        <is>
          <t>Tangentbord_mus_enhetspris</t>
        </is>
      </c>
      <c r="B23" s="142" t="n">
        <v>0</v>
      </c>
      <c r="C23" s="130" t="inlineStr">
        <is>
          <t>kr/set</t>
        </is>
      </c>
      <c r="D23" s="142" t="n"/>
      <c r="E23" s="142" t="n"/>
    </row>
    <row r="24" ht="15.75" customHeight="1" s="155">
      <c r="A24" s="130" t="inlineStr">
        <is>
          <t>Mobiltelefon_enhetspris</t>
        </is>
      </c>
      <c r="B24" s="142" t="n">
        <v>0</v>
      </c>
      <c r="C24" s="130" t="inlineStr">
        <is>
          <t>kr/st</t>
        </is>
      </c>
      <c r="D24" s="142" t="n"/>
      <c r="E24" s="142" t="n"/>
    </row>
    <row r="25" ht="15.75" customHeight="1" s="155">
      <c r="A25" s="130" t="inlineStr">
        <is>
          <t>Skrivbord_stol_enhetspris</t>
        </is>
      </c>
      <c r="B25" s="142" t="n">
        <v>0</v>
      </c>
      <c r="C25" s="130" t="inlineStr">
        <is>
          <t>kr/pers ingår i The Yard</t>
        </is>
      </c>
      <c r="D25" s="142" t="n"/>
      <c r="E25" s="142" t="n"/>
    </row>
    <row r="26" ht="15.75" customHeight="1" s="155">
      <c r="A26" s="130" t="inlineStr">
        <is>
          <t>Mötesbord_stolar_kostnad</t>
        </is>
      </c>
      <c r="B26" s="142" t="n">
        <v>0</v>
      </c>
      <c r="C26" s="130" t="inlineStr">
        <is>
          <t>Engångskostnad ingår i The Yard</t>
        </is>
      </c>
      <c r="D26" s="142" t="n"/>
      <c r="E26" s="142" t="n"/>
    </row>
    <row r="27" ht="15.75" customHeight="1" s="155">
      <c r="A27" s="130" t="inlineStr">
        <is>
          <t>Skrivare_kostnad</t>
        </is>
      </c>
      <c r="B27" s="142" t="n">
        <v>0</v>
      </c>
      <c r="C27" s="130" t="inlineStr">
        <is>
          <t>Enkel skrivare ingår i The Yard</t>
        </is>
      </c>
      <c r="D27" s="142" t="n"/>
      <c r="E27" s="142" t="n"/>
    </row>
    <row r="28" ht="15.75" customHeight="1" s="155">
      <c r="A28" s="130" t="inlineStr">
        <is>
          <t>Smått_övrigt_kostnad</t>
        </is>
      </c>
      <c r="B28" s="142" t="n">
        <v>0</v>
      </c>
      <c r="C28" s="130" t="inlineStr">
        <is>
          <t>Kablar, grenuttag, kaffebryggare m.m. ingår i The Yard</t>
        </is>
      </c>
      <c r="D28" s="142" t="n"/>
      <c r="E28" s="142" t="n"/>
    </row>
    <row r="29" ht="15.75" customHeight="1" s="155">
      <c r="A29" s="130" t="inlineStr">
        <is>
          <t>Avskrivning_månader</t>
        </is>
      </c>
      <c r="B29" s="142" t="n">
        <v>36</v>
      </c>
      <c r="C29" s="130" t="inlineStr">
        <is>
          <t>Avskrivningstid månader</t>
        </is>
      </c>
      <c r="D29" s="142" t="n"/>
      <c r="E29" s="142" t="n"/>
    </row>
    <row r="30" ht="15.75" customHeight="1" s="155">
      <c r="A30" s="130" t="inlineStr">
        <is>
          <t>Arbetstimmar_per_person_och_månad</t>
        </is>
      </c>
      <c r="B30" s="142" t="n">
        <v>160</v>
      </c>
      <c r="C30" s="130" t="inlineStr">
        <is>
          <t>Timmar per person och månad</t>
        </is>
      </c>
      <c r="D30" s="142" t="n"/>
      <c r="E30" s="142" t="n"/>
    </row>
    <row r="31" ht="15.75" customHeight="1" s="155">
      <c r="A31" s="130" t="inlineStr">
        <is>
          <t>Debiterbar_andel</t>
        </is>
      </c>
      <c r="B31" s="142" t="n">
        <v>0.7</v>
      </c>
      <c r="C31" s="130" t="inlineStr">
        <is>
          <t>Andel debiterbart (t.ex. 0,7)</t>
        </is>
      </c>
      <c r="D31" s="142" t="n"/>
      <c r="E31" s="142" t="n"/>
    </row>
    <row r="32" ht="15.75" customHeight="1" s="155">
      <c r="A32" s="130" t="inlineStr">
        <is>
          <t>Google_Workspace_per_licens</t>
        </is>
      </c>
      <c r="B32" s="142" t="n">
        <v>160</v>
      </c>
      <c r="C32" s="130" t="inlineStr">
        <is>
          <t>kr/licens/mån</t>
        </is>
      </c>
      <c r="D32" s="142" t="n"/>
      <c r="E32" s="142" t="n"/>
    </row>
    <row r="33" ht="15.75" customHeight="1" s="155">
      <c r="A33" s="130" t="inlineStr">
        <is>
          <t>Google_Workspace_antal_licenser</t>
        </is>
      </c>
      <c r="B33" s="142" t="n">
        <v>6</v>
      </c>
      <c r="C33" s="130" t="inlineStr">
        <is>
          <t>Antal platser initialt</t>
        </is>
      </c>
      <c r="D33" s="142" t="n"/>
      <c r="E33" s="142" t="n"/>
    </row>
    <row r="34" ht="15.75" customHeight="1" s="155">
      <c r="A34" s="130" t="inlineStr">
        <is>
          <t>Claude_per_månad</t>
        </is>
      </c>
      <c r="B34" s="142" t="n">
        <v>600</v>
      </c>
      <c r="C34" s="130" t="inlineStr">
        <is>
          <t>Uppskattad kostnad, ändra vid behov</t>
        </is>
      </c>
      <c r="D34" s="142" t="n"/>
      <c r="E34" s="142" t="n"/>
    </row>
    <row r="35" ht="15.75" customHeight="1" s="155">
      <c r="A35" s="130" t="inlineStr">
        <is>
          <t>AI_bildredigering_per_månad</t>
        </is>
      </c>
      <c r="B35" s="142" t="n">
        <v>500</v>
      </c>
      <c r="C35" s="130" t="inlineStr">
        <is>
          <t>Uppskattad kostnad, ändra vid behov</t>
        </is>
      </c>
      <c r="D35" s="142" t="n"/>
      <c r="E35" s="142" t="n"/>
    </row>
    <row r="36" ht="15.75" customHeight="1" s="155">
      <c r="A36" s="130" t="inlineStr">
        <is>
          <t>AI_videoredigering_per_månad</t>
        </is>
      </c>
      <c r="B36" s="142" t="n">
        <v>800</v>
      </c>
      <c r="C36" s="130" t="inlineStr">
        <is>
          <t>Uppskattad kostnad, ändra vid behov</t>
        </is>
      </c>
      <c r="D36" s="142" t="n"/>
      <c r="E36" s="142" t="n"/>
    </row>
    <row r="37" ht="15.75" customHeight="1" s="155">
      <c r="A37" s="130" t="inlineStr">
        <is>
          <t>Wilhelm_bruttolön_per_månad_gammal</t>
        </is>
      </c>
      <c r="B37" s="142" t="n">
        <v>35000</v>
      </c>
      <c r="C37" s="130" t="inlineStr">
        <is>
          <t>Ersatt av personaltabellen nedan</t>
        </is>
      </c>
      <c r="D37" s="142" t="n"/>
      <c r="E37" s="142" t="n"/>
    </row>
    <row r="40">
      <c r="A40" s="172" t="inlineStr">
        <is>
          <t>PERSONAL - grunddata</t>
        </is>
      </c>
      <c r="B40" s="172" t="n"/>
      <c r="C40" s="172" t="n"/>
      <c r="D40" s="172" t="n"/>
    </row>
    <row r="41">
      <c r="A41" s="173" t="inlineStr">
        <is>
          <t>Anställd</t>
        </is>
      </c>
      <c r="B41" s="173" t="inlineStr">
        <is>
          <t>Bruttolön per månad</t>
        </is>
      </c>
      <c r="C41" s="173" t="inlineStr">
        <is>
          <t>Tjänstepension %</t>
        </is>
      </c>
      <c r="D41" s="173" t="inlineStr">
        <is>
          <t>Kommentar</t>
        </is>
      </c>
    </row>
    <row r="42">
      <c r="A42" s="174" t="inlineStr">
        <is>
          <t>Johan Sandersnäs</t>
        </is>
      </c>
      <c r="B42" s="175" t="n">
        <v>60000</v>
      </c>
      <c r="C42" s="176" t="n">
        <v>0.06</v>
      </c>
      <c r="D42" s="174" t="inlineStr">
        <is>
          <t>Styr bruttolön och pension i budgetfliken</t>
        </is>
      </c>
    </row>
    <row r="43">
      <c r="A43" s="174" t="inlineStr">
        <is>
          <t>Anders Rasmusson</t>
        </is>
      </c>
      <c r="B43" s="175" t="n">
        <v>60000</v>
      </c>
      <c r="C43" s="176" t="n">
        <v>0.06</v>
      </c>
      <c r="D43" s="174" t="inlineStr">
        <is>
          <t>Styr bruttolön och pension i budgetfliken</t>
        </is>
      </c>
    </row>
    <row r="44">
      <c r="A44" s="174" t="inlineStr">
        <is>
          <t>David Kremer</t>
        </is>
      </c>
      <c r="B44" s="175" t="n">
        <v>60000</v>
      </c>
      <c r="C44" s="176" t="n">
        <v>0.06</v>
      </c>
      <c r="D44" s="174" t="inlineStr">
        <is>
          <t>Styr bruttolön och pension i budgetfliken</t>
        </is>
      </c>
    </row>
    <row r="45">
      <c r="A45" s="174" t="inlineStr">
        <is>
          <t>Magnus Lindau</t>
        </is>
      </c>
      <c r="B45" s="175" t="n">
        <v>60000</v>
      </c>
      <c r="C45" s="176" t="n">
        <v>0.06</v>
      </c>
      <c r="D45" s="174" t="inlineStr">
        <is>
          <t>Styr bruttolön och pension i budgetfliken</t>
        </is>
      </c>
    </row>
    <row r="46">
      <c r="A46" s="174" t="inlineStr">
        <is>
          <t>Wilhelm Johansson</t>
        </is>
      </c>
      <c r="B46" s="175" t="n">
        <v>35000</v>
      </c>
      <c r="C46" s="176" t="n">
        <v>0.06</v>
      </c>
      <c r="D46" s="174" t="inlineStr">
        <is>
          <t>Styr bruttolön och pension i budgetfliken</t>
        </is>
      </c>
    </row>
    <row r="47">
      <c r="A47" s="174" t="inlineStr">
        <is>
          <t>Ingrid Kraappa</t>
        </is>
      </c>
      <c r="B47" s="175" t="n">
        <v>60000</v>
      </c>
      <c r="C47" s="176" t="n">
        <v>0.06</v>
      </c>
      <c r="D47" s="174" t="inlineStr">
        <is>
          <t>Styr bruttolön och pension i budgetfliken</t>
        </is>
      </c>
    </row>
  </sheetData>
  <dataValidations count="2">
    <dataValidation sqref="B42:B47" showDropDown="0" showInputMessage="0" showErrorMessage="0" allowBlank="0" errorTitle="Ogiltig lön" error="Ange ett lönebelopp som är 0 eller högre." promptTitle="Bruttolön" prompt="Ange bruttolön per månad." type="decimal" operator="greaterThanOrEqual">
      <formula1>0</formula1>
    </dataValidation>
    <dataValidation sqref="C42:C47" showDropDown="0" showInputMessage="0" showErrorMessage="0" allowBlank="0" errorTitle="Ogiltig pensionssats" error="Ange pensionssats som procent, till exempel 6%." promptTitle="Tjänstepension" prompt="Ange procent av bruttolönen som ska gå till pension." type="decimal" operator="between">
      <formula1>0</formula1>
      <formula2>1</formula2>
    </dataValidation>
  </dataValidation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defaultGridColor="1" workbookViewId="0">
      <selection activeCell="A1" sqref="A1"/>
    </sheetView>
  </sheetViews>
  <sheetFormatPr baseColWidth="8" defaultColWidth="14.5" defaultRowHeight="15" customHeight="1" outlineLevelRow="0"/>
  <cols>
    <col width="52" customWidth="1" style="153" min="1" max="1"/>
    <col width="24" customWidth="1" style="153" min="2" max="2"/>
    <col width="8.67188" customWidth="1" style="153" min="3" max="5"/>
    <col width="14.5" customWidth="1" style="153" min="6" max="16384"/>
  </cols>
  <sheetData>
    <row r="1" ht="16" customHeight="1" s="155">
      <c r="A1" s="150" t="inlineStr">
        <is>
          <t>Post</t>
        </is>
      </c>
      <c r="B1" s="147" t="inlineStr">
        <is>
          <t>Belopp (kr)</t>
        </is>
      </c>
      <c r="C1" s="142" t="n"/>
      <c r="D1" s="142" t="n"/>
      <c r="E1" s="142" t="n"/>
    </row>
    <row r="2" ht="16" customHeight="1" s="155">
      <c r="A2" s="177" t="inlineStr">
        <is>
          <t>PERSONAL (per månad)</t>
        </is>
      </c>
      <c r="B2" s="178" t="n"/>
      <c r="C2" s="142" t="n"/>
      <c r="D2" s="142" t="n"/>
      <c r="E2" s="142" t="n"/>
    </row>
    <row r="3" ht="16" customHeight="1" s="155">
      <c r="A3" s="152" t="inlineStr">
        <is>
          <t>Bruttolöner</t>
        </is>
      </c>
      <c r="B3" s="142">
        <f>SUM('Inmatning'!B42:B47)</f>
        <v/>
      </c>
      <c r="C3" s="142" t="n"/>
      <c r="D3" s="142" t="n"/>
      <c r="E3" s="142" t="n"/>
    </row>
    <row r="4" ht="16" customHeight="1" s="155">
      <c r="A4" s="130" t="inlineStr">
        <is>
          <t>Arbetsgivaravgifter</t>
        </is>
      </c>
      <c r="B4" s="142">
        <f>B3*'Inmatning'!B4</f>
        <v/>
      </c>
      <c r="C4" s="142" t="n"/>
      <c r="D4" s="142" t="n"/>
      <c r="E4" s="142" t="n"/>
    </row>
    <row r="5" ht="16" customHeight="1" s="155">
      <c r="A5" s="130" t="inlineStr">
        <is>
          <t>Tjänstepension</t>
        </is>
      </c>
      <c r="B5" s="142">
        <f>SUMPRODUCT('Inmatning'!B42:B47,'Inmatning'!C42:C47)</f>
        <v/>
      </c>
      <c r="C5" s="142" t="n"/>
      <c r="D5" s="142" t="n"/>
      <c r="E5" s="142" t="n"/>
    </row>
    <row r="6" ht="16" customHeight="1" s="155">
      <c r="A6" s="130" t="inlineStr">
        <is>
          <t>Personalförsäkringar</t>
        </is>
      </c>
      <c r="B6" s="142">
        <f>B3*'Inmatning'!B6</f>
        <v/>
      </c>
      <c r="C6" s="142" t="n"/>
      <c r="D6" s="142" t="n"/>
      <c r="E6" s="142" t="n"/>
    </row>
    <row r="7" ht="16" customHeight="1" s="155">
      <c r="A7" s="130" t="inlineStr">
        <is>
          <t>Summa personal/mån</t>
        </is>
      </c>
      <c r="B7" s="142">
        <f>SUM(B3:B6)</f>
        <v/>
      </c>
      <c r="C7" s="142" t="n"/>
      <c r="D7" s="142" t="n"/>
      <c r="E7" s="142" t="n"/>
    </row>
    <row r="8" ht="16" customHeight="1" s="155">
      <c r="A8" s="14" t="n"/>
      <c r="B8" s="142" t="n"/>
      <c r="C8" s="142" t="n"/>
      <c r="D8" s="142" t="n"/>
      <c r="E8" s="142" t="n"/>
    </row>
    <row r="9" ht="16" customHeight="1" s="155">
      <c r="A9" s="177" t="inlineStr">
        <is>
          <t>ABONNEMANG &amp; MJUKVARA (per månad)</t>
        </is>
      </c>
      <c r="B9" s="178" t="n"/>
      <c r="C9" s="142" t="n"/>
      <c r="D9" s="142" t="n"/>
      <c r="E9" s="142" t="n"/>
    </row>
    <row r="10" ht="16" customHeight="1" s="155">
      <c r="A10" s="152" t="inlineStr">
        <is>
          <t>Företagsförsäkring</t>
        </is>
      </c>
      <c r="B10" s="142">
        <f t="array" ref="B10">'Inmatning'!B7</f>
        <v/>
      </c>
      <c r="C10" s="142" t="n"/>
      <c r="D10" s="142" t="n"/>
      <c r="E10" s="142" t="n"/>
    </row>
    <row r="11" ht="16" customHeight="1" s="155">
      <c r="A11" s="130" t="inlineStr">
        <is>
          <t>Mobilabonnemang</t>
        </is>
      </c>
      <c r="B11" s="142">
        <f t="array" ref="B11">'Inmatning'!B8*'Inmatning'!B9</f>
        <v/>
      </c>
      <c r="C11" s="142" t="n"/>
      <c r="D11" s="142" t="n"/>
      <c r="E11" s="142" t="n"/>
    </row>
    <row r="12" ht="16" customHeight="1" s="155">
      <c r="A12" s="130" t="inlineStr">
        <is>
          <t>Internet (kontor)</t>
        </is>
      </c>
      <c r="B12" s="142">
        <f t="array" ref="B12">'Inmatning'!B10</f>
        <v/>
      </c>
      <c r="C12" s="142" t="n"/>
      <c r="D12" s="142" t="n"/>
      <c r="E12" s="142" t="n"/>
    </row>
    <row r="13" ht="16" customHeight="1" s="155">
      <c r="A13" s="130" t="inlineStr">
        <is>
          <t>Microsoft 365</t>
        </is>
      </c>
      <c r="B13" s="142">
        <f t="array" ref="B13">'Inmatning'!B11*'Inmatning'!B12</f>
        <v/>
      </c>
      <c r="C13" s="142" t="n"/>
      <c r="D13" s="142" t="n"/>
      <c r="E13" s="142" t="n"/>
    </row>
    <row r="14" ht="16" customHeight="1" s="155">
      <c r="A14" s="130" t="inlineStr">
        <is>
          <t>Adobe Creative Cloud</t>
        </is>
      </c>
      <c r="B14" s="142">
        <f t="array" ref="B14">'Inmatning'!B13*'Inmatning'!B14</f>
        <v/>
      </c>
      <c r="C14" s="142" t="n"/>
      <c r="D14" s="142" t="n"/>
      <c r="E14" s="142" t="n"/>
    </row>
    <row r="15" ht="16" customHeight="1" s="155">
      <c r="A15" s="130" t="inlineStr">
        <is>
          <t>E-signering</t>
        </is>
      </c>
      <c r="B15" s="142">
        <f t="array" ref="B15">'Inmatning'!B15</f>
        <v/>
      </c>
      <c r="C15" s="142" t="n"/>
      <c r="D15" s="142" t="n"/>
      <c r="E15" s="142" t="n"/>
    </row>
    <row r="16" ht="16" customHeight="1" s="155">
      <c r="A16" s="130" t="inlineStr">
        <is>
          <t>Bokföring/Fakturering</t>
        </is>
      </c>
      <c r="B16" s="142">
        <f t="array" ref="B16">'Inmatning'!B16</f>
        <v/>
      </c>
      <c r="C16" s="142" t="n"/>
      <c r="D16" s="142" t="n"/>
      <c r="E16" s="142" t="n"/>
    </row>
    <row r="17" ht="16" customHeight="1" s="155">
      <c r="A17" s="130" t="inlineStr">
        <is>
          <t>Projektstyrning</t>
        </is>
      </c>
      <c r="B17" s="142">
        <f t="array" ref="B17">'Inmatning'!B17</f>
        <v/>
      </c>
      <c r="C17" s="142" t="n"/>
      <c r="D17" s="142" t="n"/>
      <c r="E17" s="142" t="n"/>
    </row>
    <row r="18" ht="16" customHeight="1" s="155">
      <c r="A18" s="130" t="inlineStr">
        <is>
          <t>Summa abonnemang &amp; mjukvara/mån</t>
        </is>
      </c>
      <c r="B18" s="142">
        <f t="array" ref="B18">SUM(B10:B17)</f>
        <v/>
      </c>
      <c r="C18" s="142" t="n"/>
      <c r="D18" s="142" t="n"/>
      <c r="E18" s="142" t="n"/>
    </row>
    <row r="19" ht="16" customHeight="1" s="155">
      <c r="A19" s="14" t="n"/>
      <c r="B19" s="142" t="n"/>
      <c r="C19" s="142" t="n"/>
      <c r="D19" s="142" t="n"/>
      <c r="E19" s="142" t="n"/>
    </row>
    <row r="20" ht="16" customHeight="1" s="155">
      <c r="A20" s="177" t="inlineStr">
        <is>
          <t>LOKAL &amp; DRIFT (per månad)</t>
        </is>
      </c>
      <c r="B20" s="178" t="n"/>
      <c r="C20" s="142" t="n"/>
      <c r="D20" s="142" t="n"/>
      <c r="E20" s="142" t="n"/>
    </row>
    <row r="21" ht="15.75" customHeight="1" s="155">
      <c r="A21" s="152" t="inlineStr">
        <is>
          <t>Förbrukning/kaffe/print/städ</t>
        </is>
      </c>
      <c r="B21" s="142">
        <f t="array" ref="B21">'Inmatning'!B18</f>
        <v/>
      </c>
      <c r="C21" s="142" t="n"/>
      <c r="D21" s="142" t="n"/>
      <c r="E21" s="142" t="n"/>
    </row>
    <row r="22" ht="15.75" customHeight="1" s="155">
      <c r="A22" s="130" t="inlineStr">
        <is>
          <t>Kontorshyra</t>
        </is>
      </c>
      <c r="B22" s="142">
        <f t="array" ref="B22">'Inmatning'!B19</f>
        <v/>
      </c>
      <c r="C22" s="142" t="n"/>
      <c r="D22" s="142" t="n"/>
      <c r="E22" s="142" t="n"/>
    </row>
    <row r="23" ht="15.75" customHeight="1" s="155">
      <c r="A23" s="130" t="inlineStr">
        <is>
          <t>Summa lokal &amp; drift/mån</t>
        </is>
      </c>
      <c r="B23" s="142">
        <f t="array" ref="B23">SUM(B21:B22)</f>
        <v/>
      </c>
      <c r="C23" s="142" t="n"/>
      <c r="D23" s="142" t="n"/>
      <c r="E23" s="142" t="n"/>
    </row>
    <row r="24" ht="15.75" customHeight="1" s="155">
      <c r="A24" s="142" t="n"/>
      <c r="B24" s="142" t="n"/>
      <c r="C24" s="142" t="n"/>
      <c r="D24" s="142" t="n"/>
      <c r="E24" s="142" t="n"/>
    </row>
    <row r="25" ht="15.75" customHeight="1" s="155">
      <c r="A25" s="130" t="inlineStr">
        <is>
          <t>SUBTOTAL OPEX (exkl. hyra)</t>
        </is>
      </c>
      <c r="B25" s="142">
        <f t="array" ref="B25">B7+B18+B21</f>
        <v/>
      </c>
      <c r="C25" s="142" t="n"/>
      <c r="D25" s="142" t="n"/>
      <c r="E25" s="142" t="n"/>
    </row>
    <row r="26" ht="15.75" customHeight="1" s="155">
      <c r="A26" s="130" t="inlineStr">
        <is>
          <t>Månadskostnad inkl. hyra (OPEX)</t>
        </is>
      </c>
      <c r="B26" s="142">
        <f t="array" ref="B26">B7+B18+B23</f>
        <v/>
      </c>
      <c r="C26" s="142" t="n"/>
      <c r="D26" s="142" t="n"/>
      <c r="E26" s="142" t="n"/>
    </row>
    <row r="27" ht="15.75" customHeight="1" s="155">
      <c r="A27" s="130" t="inlineStr">
        <is>
          <t>Årskostnad inkl. hyra (OPEX × 12)</t>
        </is>
      </c>
      <c r="B27" s="142">
        <f t="array" ref="B27">B26*12</f>
        <v/>
      </c>
      <c r="C27" s="142" t="n"/>
      <c r="D27" s="142" t="n"/>
      <c r="E27" s="142" t="n"/>
    </row>
    <row r="28" ht="15.75" customHeight="1" s="155">
      <c r="A28" s="14" t="n"/>
      <c r="B28" s="142" t="n"/>
      <c r="C28" s="142" t="n"/>
      <c r="D28" s="142" t="n"/>
      <c r="E28" s="142" t="n"/>
    </row>
    <row r="29" ht="15.75" customHeight="1" s="155">
      <c r="A29" s="177" t="inlineStr">
        <is>
          <t>CAPEX – Hårdvara &amp; kontorsutrustning (engångs)</t>
        </is>
      </c>
      <c r="B29" s="178" t="n"/>
      <c r="C29" s="142" t="n"/>
      <c r="D29" s="142" t="n"/>
      <c r="E29" s="142" t="n"/>
    </row>
    <row r="30" ht="15.75" customHeight="1" s="155">
      <c r="A30" s="152" t="inlineStr">
        <is>
          <t>Bärbara datorer</t>
        </is>
      </c>
      <c r="B30" s="142">
        <f t="array" ref="B30">'Inmatning'!B20*'Inmatning'!B2</f>
        <v/>
      </c>
      <c r="C30" s="142" t="n"/>
      <c r="D30" s="142" t="n"/>
      <c r="E30" s="142" t="n"/>
    </row>
    <row r="31" ht="15.75" customHeight="1" s="155">
      <c r="A31" s="130" t="inlineStr">
        <is>
          <t>Skärmar 27"</t>
        </is>
      </c>
      <c r="B31" s="142">
        <f t="array" ref="B31">'Inmatning'!B21*'Inmatning'!B2</f>
        <v/>
      </c>
      <c r="C31" s="142" t="n"/>
      <c r="D31" s="142" t="n"/>
      <c r="E31" s="142" t="n"/>
    </row>
    <row r="32" ht="15.75" customHeight="1" s="155">
      <c r="A32" s="130" t="inlineStr">
        <is>
          <t>Dockor</t>
        </is>
      </c>
      <c r="B32" s="142">
        <f t="array" ref="B32">'Inmatning'!B22*'Inmatning'!B2</f>
        <v/>
      </c>
      <c r="C32" s="142" t="n"/>
      <c r="D32" s="142" t="n"/>
      <c r="E32" s="142" t="n"/>
    </row>
    <row r="33" ht="15.75" customHeight="1" s="155">
      <c r="A33" s="130" t="inlineStr">
        <is>
          <t>Tangentbord/mus</t>
        </is>
      </c>
      <c r="B33" s="142">
        <f t="array" ref="B33">'Inmatning'!B23*'Inmatning'!B2</f>
        <v/>
      </c>
      <c r="C33" s="142" t="n"/>
      <c r="D33" s="142" t="n"/>
      <c r="E33" s="142" t="n"/>
    </row>
    <row r="34" ht="15.75" customHeight="1" s="155">
      <c r="A34" s="130" t="inlineStr">
        <is>
          <t>Mobiltelefoner</t>
        </is>
      </c>
      <c r="B34" s="142">
        <f t="array" ref="B34">'Inmatning'!B24*'Inmatning'!B2</f>
        <v/>
      </c>
      <c r="C34" s="142" t="n"/>
      <c r="D34" s="142" t="n"/>
      <c r="E34" s="142" t="n"/>
    </row>
    <row r="35" ht="15.75" customHeight="1" s="155">
      <c r="A35" s="130" t="inlineStr">
        <is>
          <t>Skrivbord + stolar</t>
        </is>
      </c>
      <c r="B35" s="142">
        <f t="array" ref="B35">'Inmatning'!B25*'Inmatning'!B2</f>
        <v/>
      </c>
      <c r="C35" s="142" t="n"/>
      <c r="D35" s="142" t="n"/>
      <c r="E35" s="142" t="n"/>
    </row>
    <row r="36" ht="15.75" customHeight="1" s="155">
      <c r="A36" s="130" t="inlineStr">
        <is>
          <t>Mötesbord/stolar</t>
        </is>
      </c>
      <c r="B36" s="142">
        <f t="array" ref="B36">'Inmatning'!B26</f>
        <v/>
      </c>
      <c r="C36" s="142" t="n"/>
      <c r="D36" s="142" t="n"/>
      <c r="E36" s="142" t="n"/>
    </row>
    <row r="37" ht="15.75" customHeight="1" s="155">
      <c r="A37" s="130" t="inlineStr">
        <is>
          <t>Skrivare</t>
        </is>
      </c>
      <c r="B37" s="142">
        <f t="array" ref="B37">'Inmatning'!B27</f>
        <v/>
      </c>
      <c r="C37" s="142" t="n"/>
      <c r="D37" s="142" t="n"/>
      <c r="E37" s="142" t="n"/>
    </row>
    <row r="38" ht="15.75" customHeight="1" s="155">
      <c r="A38" s="130" t="inlineStr">
        <is>
          <t>Smått &amp; övrigt</t>
        </is>
      </c>
      <c r="B38" s="142">
        <f t="array" ref="B38">'Inmatning'!B28</f>
        <v/>
      </c>
      <c r="C38" s="142" t="n"/>
      <c r="D38" s="142" t="n"/>
      <c r="E38" s="142" t="n"/>
    </row>
    <row r="39" ht="15.75" customHeight="1" s="155">
      <c r="A39" s="130" t="inlineStr">
        <is>
          <t>Summa CAPEX</t>
        </is>
      </c>
      <c r="B39" s="142">
        <f t="array" ref="B39">SUM(B30:B38)</f>
        <v/>
      </c>
      <c r="C39" s="142" t="n"/>
      <c r="D39" s="142" t="n"/>
      <c r="E39" s="142" t="n"/>
    </row>
    <row r="40" ht="15.75" customHeight="1" s="155">
      <c r="A40" s="130" t="inlineStr">
        <is>
          <t>Avskrivning (mån)</t>
        </is>
      </c>
      <c r="B40" s="142">
        <f t="array" ref="B40">B39/'Inmatning'!B29</f>
        <v/>
      </c>
      <c r="C40" s="142" t="n"/>
      <c r="D40" s="142" t="n"/>
      <c r="E40" s="142" t="n"/>
    </row>
    <row r="41" ht="15.75" customHeight="1" s="155">
      <c r="A41" s="142" t="n"/>
      <c r="B41" s="142" t="n"/>
      <c r="C41" s="142" t="n"/>
      <c r="D41" s="142" t="n"/>
      <c r="E41" s="142" t="n"/>
    </row>
    <row r="42" ht="15.75" customHeight="1" s="155">
      <c r="A42" s="130" t="inlineStr">
        <is>
          <t>All-in månad (OPEX inkl. hyra + avskrivning)</t>
        </is>
      </c>
      <c r="B42" s="142">
        <f t="array" ref="B42">B26+B40</f>
        <v/>
      </c>
      <c r="C42" s="142" t="n"/>
      <c r="D42" s="142" t="n"/>
      <c r="E42" s="142" t="n"/>
    </row>
    <row r="43" ht="15.75" customHeight="1" s="155">
      <c r="A43" s="130" t="inlineStr">
        <is>
          <t>Kostnad per person och månad</t>
        </is>
      </c>
      <c r="B43" s="142">
        <f t="array" ref="B43">B26/'Inmatning'!B2</f>
        <v/>
      </c>
      <c r="C43" s="142" t="n"/>
      <c r="D43" s="142" t="n"/>
      <c r="E43" s="142" t="n"/>
    </row>
    <row r="44" ht="15.75" customHeight="1" s="155">
      <c r="A44" s="130" t="inlineStr">
        <is>
          <t>Debiterbara timmar/pers/mån</t>
        </is>
      </c>
      <c r="B44" s="142">
        <f t="array" ref="B44">'Inmatning'!B30*'Inmatning'!B31</f>
        <v/>
      </c>
      <c r="C44" s="142" t="n"/>
      <c r="D44" s="142" t="n"/>
      <c r="E44" s="142" t="n"/>
    </row>
    <row r="45" ht="15.75" customHeight="1" s="155">
      <c r="A45" s="130" t="inlineStr">
        <is>
          <t>Intern kostnad per debiterbar timme</t>
        </is>
      </c>
      <c r="B45" s="142">
        <f t="array" ref="B45">B26/('Inmatning'!B2*B44)</f>
        <v/>
      </c>
      <c r="C45" s="142" t="n"/>
      <c r="D45" s="142" t="n"/>
      <c r="E45" s="142" t="n"/>
    </row>
    <row r="46" ht="15.75" customHeight="1" s="155">
      <c r="A46" s="142" t="n"/>
      <c r="B46" s="142" t="n"/>
      <c r="C46" s="142" t="n"/>
      <c r="D46" s="142" t="n"/>
      <c r="E46" s="142" t="n"/>
    </row>
    <row r="47" ht="15.75" customHeight="1" s="155">
      <c r="A47" s="130" t="inlineStr">
        <is>
          <t>OBS: Ändra endast värden i bladet 'Inmatning' (kolumn B). Alla summor uppdateras automatiskt.</t>
        </is>
      </c>
      <c r="B47" s="179" t="n"/>
      <c r="C47" s="142" t="n"/>
      <c r="D47" s="142" t="n"/>
      <c r="E47" s="142" t="n"/>
    </row>
  </sheetData>
  <mergeCells count="5">
    <mergeCell ref="A20:B20"/>
    <mergeCell ref="A2:B2"/>
    <mergeCell ref="A29:B29"/>
    <mergeCell ref="A47:B47"/>
    <mergeCell ref="A9:B9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3" customWidth="1" style="153" min="1" max="5"/>
    <col width="8.851559999999999" customWidth="1" style="153" min="6" max="16384"/>
  </cols>
  <sheetData>
    <row r="1" ht="22" customHeight="1" s="155">
      <c r="A1" s="130" t="inlineStr">
        <is>
          <t>Månad</t>
        </is>
      </c>
      <c r="B1" s="130" t="inlineStr">
        <is>
          <t>Resultat P&amp;L</t>
        </is>
      </c>
      <c r="C1" s="130" t="inlineStr">
        <is>
          <t>Ack. resultat P&amp;L</t>
        </is>
      </c>
      <c r="D1" s="130" t="inlineStr">
        <is>
          <t>Kassaflöde</t>
        </is>
      </c>
      <c r="E1" s="130" t="inlineStr">
        <is>
          <t>Ack. kassaflöde</t>
        </is>
      </c>
    </row>
    <row r="2" ht="20" customHeight="1" s="155">
      <c r="A2" s="130" t="inlineStr">
        <is>
          <t>Maj</t>
        </is>
      </c>
      <c r="B2" s="154">
        <f t="array" ref="B2">'Budget maj-dec 2026'!B17-SUM('Budget maj-dec 2026'!B66,'Budget maj-dec 2026'!B79,'Budget maj-dec 2026'!B84,'Budget maj-dec 2026'!B87)</f>
        <v/>
      </c>
      <c r="C2" s="154">
        <f t="array" ref="C2">B2</f>
        <v/>
      </c>
      <c r="D2" s="154">
        <f t="array" ref="D2">'Budget maj-dec 2026'!B17-SUM('Budget maj-dec 2026'!B66,'Budget maj-dec 2026'!B79,'Budget maj-dec 2026'!B84,'Budget maj-dec 2026'!B87)+'Budget maj-dec 2026'!B87-'Budget maj-dec 2026'!B88</f>
        <v/>
      </c>
      <c r="E2" s="154">
        <f t="array" ref="E2">D2</f>
        <v/>
      </c>
    </row>
    <row r="3" ht="20" customHeight="1" s="155">
      <c r="A3" s="130" t="inlineStr">
        <is>
          <t>Juni</t>
        </is>
      </c>
      <c r="B3" s="154">
        <f t="array" ref="B3">'Budget maj-dec 2026'!C17-SUM('Budget maj-dec 2026'!C66,'Budget maj-dec 2026'!C79,'Budget maj-dec 2026'!C84,'Budget maj-dec 2026'!C87)</f>
        <v/>
      </c>
      <c r="C3" s="154">
        <f t="array" ref="C3">C2+B3</f>
        <v/>
      </c>
      <c r="D3" s="154">
        <f t="array" ref="D3">'Budget maj-dec 2026'!C17-SUM('Budget maj-dec 2026'!C66,'Budget maj-dec 2026'!C79,'Budget maj-dec 2026'!C84,'Budget maj-dec 2026'!C87)+'Budget maj-dec 2026'!C87-'Budget maj-dec 2026'!C88</f>
        <v/>
      </c>
      <c r="E3" s="154">
        <f t="array" ref="E3">E2+D3</f>
        <v/>
      </c>
    </row>
    <row r="4" ht="20" customHeight="1" s="155">
      <c r="A4" s="130" t="inlineStr">
        <is>
          <t>Juli</t>
        </is>
      </c>
      <c r="B4" s="154">
        <f t="array" ref="B4">'Budget maj-dec 2026'!D17-SUM('Budget maj-dec 2026'!D66,'Budget maj-dec 2026'!D79,'Budget maj-dec 2026'!D84,'Budget maj-dec 2026'!D87)</f>
        <v/>
      </c>
      <c r="C4" s="154">
        <f t="array" ref="C4">C3+B4</f>
        <v/>
      </c>
      <c r="D4" s="154">
        <f t="array" ref="D4">'Budget maj-dec 2026'!D17-SUM('Budget maj-dec 2026'!D66,'Budget maj-dec 2026'!D79,'Budget maj-dec 2026'!D84,'Budget maj-dec 2026'!D87)+'Budget maj-dec 2026'!D87-'Budget maj-dec 2026'!D88</f>
        <v/>
      </c>
      <c r="E4" s="154">
        <f t="array" ref="E4">E3+D4</f>
        <v/>
      </c>
    </row>
    <row r="5" ht="20" customHeight="1" s="155">
      <c r="A5" s="130" t="inlineStr">
        <is>
          <t>Augusti</t>
        </is>
      </c>
      <c r="B5" s="154">
        <f t="array" ref="B5">'Budget maj-dec 2026'!E17-SUM('Budget maj-dec 2026'!E66,'Budget maj-dec 2026'!E79,'Budget maj-dec 2026'!E84,'Budget maj-dec 2026'!E87)</f>
        <v/>
      </c>
      <c r="C5" s="154">
        <f t="array" ref="C5">C4+B5</f>
        <v/>
      </c>
      <c r="D5" s="154">
        <f t="array" ref="D5">'Budget maj-dec 2026'!E17-SUM('Budget maj-dec 2026'!E66,'Budget maj-dec 2026'!E79,'Budget maj-dec 2026'!E84,'Budget maj-dec 2026'!E87)+'Budget maj-dec 2026'!E87-'Budget maj-dec 2026'!E88</f>
        <v/>
      </c>
      <c r="E5" s="154">
        <f t="array" ref="E5">E4+D5</f>
        <v/>
      </c>
    </row>
    <row r="6" ht="20" customHeight="1" s="155">
      <c r="A6" s="130" t="inlineStr">
        <is>
          <t>September</t>
        </is>
      </c>
      <c r="B6" s="154">
        <f t="array" ref="B6">'Budget maj-dec 2026'!F17-SUM('Budget maj-dec 2026'!F66,'Budget maj-dec 2026'!F79,'Budget maj-dec 2026'!F84,'Budget maj-dec 2026'!F87)</f>
        <v/>
      </c>
      <c r="C6" s="154">
        <f t="array" ref="C6">C5+B6</f>
        <v/>
      </c>
      <c r="D6" s="154">
        <f t="array" ref="D6">'Budget maj-dec 2026'!F17-SUM('Budget maj-dec 2026'!F66,'Budget maj-dec 2026'!F79,'Budget maj-dec 2026'!F84,'Budget maj-dec 2026'!F87)+'Budget maj-dec 2026'!F87-'Budget maj-dec 2026'!F88</f>
        <v/>
      </c>
      <c r="E6" s="154">
        <f t="array" ref="E6">E5+D6</f>
        <v/>
      </c>
    </row>
    <row r="7" ht="20" customHeight="1" s="155">
      <c r="A7" s="130" t="inlineStr">
        <is>
          <t>Oktober</t>
        </is>
      </c>
      <c r="B7" s="154">
        <f t="array" ref="B7">'Budget maj-dec 2026'!G17-SUM('Budget maj-dec 2026'!G66,'Budget maj-dec 2026'!G79,'Budget maj-dec 2026'!G84,'Budget maj-dec 2026'!G87)</f>
        <v/>
      </c>
      <c r="C7" s="154">
        <f t="array" ref="C7">C6+B7</f>
        <v/>
      </c>
      <c r="D7" s="154">
        <f t="array" ref="D7">'Budget maj-dec 2026'!G17-SUM('Budget maj-dec 2026'!G66,'Budget maj-dec 2026'!G79,'Budget maj-dec 2026'!G84,'Budget maj-dec 2026'!G87)+'Budget maj-dec 2026'!G87-'Budget maj-dec 2026'!G88</f>
        <v/>
      </c>
      <c r="E7" s="154">
        <f t="array" ref="E7">E6+D7</f>
        <v/>
      </c>
    </row>
    <row r="8" ht="20" customHeight="1" s="155">
      <c r="A8" s="130" t="inlineStr">
        <is>
          <t>November</t>
        </is>
      </c>
      <c r="B8" s="154">
        <f t="array" ref="B8">'Budget maj-dec 2026'!H17-SUM('Budget maj-dec 2026'!H66,'Budget maj-dec 2026'!H79,'Budget maj-dec 2026'!H84,'Budget maj-dec 2026'!H87)</f>
        <v/>
      </c>
      <c r="C8" s="154">
        <f t="array" ref="C8">C7+B8</f>
        <v/>
      </c>
      <c r="D8" s="154">
        <f t="array" ref="D8">'Budget maj-dec 2026'!H17-SUM('Budget maj-dec 2026'!H66,'Budget maj-dec 2026'!H79,'Budget maj-dec 2026'!H84,'Budget maj-dec 2026'!H87)+'Budget maj-dec 2026'!H87-'Budget maj-dec 2026'!H88</f>
        <v/>
      </c>
      <c r="E8" s="154">
        <f t="array" ref="E8">E7+D8</f>
        <v/>
      </c>
    </row>
    <row r="9" ht="16" customHeight="1" s="155">
      <c r="A9" s="130" t="inlineStr">
        <is>
          <t>December</t>
        </is>
      </c>
      <c r="B9" s="154">
        <f t="array" ref="B9">'Budget maj-dec 2026'!I17-SUM('Budget maj-dec 2026'!I66,'Budget maj-dec 2026'!I79,'Budget maj-dec 2026'!I84,'Budget maj-dec 2026'!I87)</f>
        <v/>
      </c>
      <c r="C9" s="154">
        <f t="array" ref="C9">C8+B9</f>
        <v/>
      </c>
      <c r="D9" s="154">
        <f t="array" ref="D9">'Budget maj-dec 2026'!I17-SUM('Budget maj-dec 2026'!I66,'Budget maj-dec 2026'!I79,'Budget maj-dec 2026'!I84,'Budget maj-dec 2026'!I87)+'Budget maj-dec 2026'!I87-'Budget maj-dec 2026'!I88</f>
        <v/>
      </c>
      <c r="E9" s="154">
        <f t="array" ref="E9">E8+D9</f>
        <v/>
      </c>
    </row>
    <row r="10" ht="16" customHeight="1" s="155">
      <c r="A10" s="142" t="n"/>
      <c r="B10" s="142" t="n"/>
      <c r="C10" s="142" t="n"/>
      <c r="D10" s="142" t="n"/>
      <c r="E10" s="142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2026-05-06T14:49:09Z</dcterms:created>
  <dcterms:modified xmlns:dcterms="http://purl.org/dc/terms/" xmlns:xsi="http://www.w3.org/2001/XMLSchema-instance" xsi:type="dcterms:W3CDTF">2026-05-06T14:49:09Z</dcterms:modified>
</cp:coreProperties>
</file>